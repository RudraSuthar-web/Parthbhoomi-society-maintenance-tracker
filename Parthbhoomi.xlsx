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:\PARTHBHOOMI\"/>
    </mc:Choice>
  </mc:AlternateContent>
  <xr:revisionPtr revIDLastSave="0" documentId="13_ncr:1_{A7E1686F-FA76-4802-850C-AD9DC1B67C5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2025" sheetId="1" r:id="rId1"/>
    <sheet name="2026" sheetId="2" r:id="rId2"/>
    <sheet name="FINAL SHEET " sheetId="3" r:id="rId3"/>
  </sheets>
  <definedNames>
    <definedName name="_xlnm.Print_Titles" localSheetId="2">'FINAL SHEET '!$A:$A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3" l="1"/>
  <c r="B17" i="3" s="1"/>
  <c r="AV15" i="3"/>
  <c r="AV17" i="3" s="1"/>
  <c r="AU15" i="3"/>
  <c r="AU17" i="3" s="1"/>
  <c r="AT15" i="3"/>
  <c r="AT17" i="3" s="1"/>
  <c r="AS15" i="3"/>
  <c r="AS17" i="3" s="1"/>
  <c r="AR15" i="3"/>
  <c r="AR17" i="3" s="1"/>
  <c r="AQ15" i="3"/>
  <c r="AQ17" i="3" s="1"/>
  <c r="AP15" i="3"/>
  <c r="AP17" i="3" s="1"/>
  <c r="AO15" i="3"/>
  <c r="AO17" i="3" s="1"/>
  <c r="AN15" i="3"/>
  <c r="AN17" i="3" s="1"/>
  <c r="AM15" i="3"/>
  <c r="AM17" i="3" s="1"/>
  <c r="AL15" i="3"/>
  <c r="AL17" i="3" s="1"/>
  <c r="AK15" i="3"/>
  <c r="AK17" i="3" s="1"/>
  <c r="AJ15" i="3"/>
  <c r="AJ17" i="3" s="1"/>
  <c r="AI15" i="3"/>
  <c r="AI17" i="3" s="1"/>
  <c r="AH15" i="3"/>
  <c r="AH17" i="3" s="1"/>
  <c r="AG15" i="3"/>
  <c r="AG17" i="3" s="1"/>
  <c r="AF15" i="3"/>
  <c r="AF17" i="3" s="1"/>
  <c r="AE15" i="3"/>
  <c r="AE17" i="3" s="1"/>
  <c r="AD15" i="3"/>
  <c r="AD17" i="3" s="1"/>
  <c r="AC15" i="3"/>
  <c r="AC17" i="3" s="1"/>
  <c r="AB15" i="3"/>
  <c r="AB17" i="3" s="1"/>
  <c r="AA15" i="3"/>
  <c r="AA17" i="3" s="1"/>
  <c r="Z15" i="3"/>
  <c r="Z17" i="3" s="1"/>
  <c r="Y15" i="3"/>
  <c r="Y17" i="3" s="1"/>
  <c r="X15" i="3"/>
  <c r="X17" i="3" s="1"/>
  <c r="W15" i="3"/>
  <c r="W17" i="3" s="1"/>
  <c r="V15" i="3"/>
  <c r="V17" i="3" s="1"/>
  <c r="U15" i="3"/>
  <c r="U17" i="3" s="1"/>
  <c r="T15" i="3"/>
  <c r="T17" i="3" s="1"/>
  <c r="S15" i="3"/>
  <c r="S17" i="3" s="1"/>
  <c r="R15" i="3"/>
  <c r="R17" i="3" s="1"/>
  <c r="Q15" i="3"/>
  <c r="Q17" i="3" s="1"/>
  <c r="P15" i="3"/>
  <c r="P17" i="3" s="1"/>
  <c r="O15" i="3"/>
  <c r="O17" i="3" s="1"/>
  <c r="N15" i="3"/>
  <c r="N17" i="3" s="1"/>
  <c r="M15" i="3"/>
  <c r="M17" i="3" s="1"/>
  <c r="L15" i="3"/>
  <c r="L17" i="3" s="1"/>
  <c r="K15" i="3"/>
  <c r="K17" i="3" s="1"/>
  <c r="J15" i="3"/>
  <c r="J17" i="3" s="1"/>
  <c r="I15" i="3"/>
  <c r="I17" i="3" s="1"/>
  <c r="H15" i="3"/>
  <c r="H17" i="3" s="1"/>
  <c r="G15" i="3"/>
  <c r="G17" i="3" s="1"/>
  <c r="F15" i="3"/>
  <c r="F17" i="3" s="1"/>
  <c r="E15" i="3"/>
  <c r="E17" i="3" s="1"/>
  <c r="D15" i="3"/>
  <c r="D17" i="3" s="1"/>
  <c r="C15" i="3"/>
  <c r="C17" i="3" s="1"/>
  <c r="D52" i="2"/>
  <c r="C52" i="2"/>
  <c r="N52" i="2"/>
  <c r="M52" i="2"/>
  <c r="L52" i="2"/>
  <c r="K52" i="2"/>
  <c r="J52" i="2"/>
  <c r="I52" i="2"/>
  <c r="H52" i="2"/>
  <c r="G52" i="2"/>
  <c r="F52" i="2"/>
  <c r="E52" i="2"/>
  <c r="R10" i="2"/>
  <c r="K9" i="1"/>
  <c r="G51" i="1"/>
  <c r="F51" i="1"/>
  <c r="E51" i="1"/>
  <c r="D51" i="1"/>
  <c r="C51" i="1"/>
  <c r="B18" i="3" l="1"/>
  <c r="C55" i="2"/>
  <c r="C53" i="1"/>
  <c r="I11" i="1" s="1"/>
  <c r="C54" i="2" s="1"/>
  <c r="P12" i="2" l="1"/>
</calcChain>
</file>

<file path=xl/sharedStrings.xml><?xml version="1.0" encoding="utf-8"?>
<sst xmlns="http://schemas.openxmlformats.org/spreadsheetml/2006/main" count="145" uniqueCount="86">
  <si>
    <t xml:space="preserve">House No. 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</si>
  <si>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</si>
  <si>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</si>
  <si>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</si>
  <si>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</si>
  <si>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</si>
  <si>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</si>
  <si>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</si>
  <si>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</si>
  <si>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</si>
  <si>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</si>
  <si>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</si>
  <si>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</si>
  <si>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</si>
  <si>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</si>
  <si>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</si>
  <si>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</si>
  <si>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</si>
  <si>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</si>
  <si>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</si>
  <si>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</si>
  <si>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</si>
  <si>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</si>
  <si>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</si>
  <si>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</si>
  <si>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</si>
  <si>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</si>
  <si>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</si>
  <si>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</si>
  <si>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</si>
  <si>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</si>
  <si>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</si>
  <si>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</si>
  <si>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</si>
  <si>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</si>
  <si>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</si>
  <si>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</si>
  <si>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</si>
  <si>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</si>
  <si>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</si>
  <si>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</si>
  <si>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</si>
  <si>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</si>
  <si>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</si>
  <si>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</si>
  <si>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</si>
  <si>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</si>
  <si>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</si>
  <si>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PARTHBHOOMI</t>
  </si>
  <si>
    <t>TOTAL</t>
  </si>
  <si>
    <t>Grand Total</t>
  </si>
  <si>
    <t>Vakil for RTI</t>
  </si>
  <si>
    <t xml:space="preserve">Visit free Nikuj Soni </t>
  </si>
  <si>
    <t xml:space="preserve">Books </t>
  </si>
  <si>
    <t>Gate look &amp; Sakad</t>
  </si>
  <si>
    <t>Xerox of docs - 2 Set</t>
  </si>
  <si>
    <t>Speed Post to Builder</t>
  </si>
  <si>
    <t>Total</t>
  </si>
  <si>
    <t xml:space="preserve">Balance </t>
  </si>
  <si>
    <t xml:space="preserve">CREDIT </t>
  </si>
  <si>
    <t>DEBIT</t>
  </si>
  <si>
    <t>Balance - 2025</t>
  </si>
  <si>
    <t xml:space="preserve">Society Stamp </t>
  </si>
  <si>
    <t xml:space="preserve">G. TOTAL </t>
  </si>
  <si>
    <t xml:space="preserve">BALANCE </t>
  </si>
  <si>
    <t>ONE MONTH</t>
  </si>
  <si>
    <t>TWO MONTH</t>
  </si>
  <si>
    <t>Three Month</t>
  </si>
  <si>
    <t>Four Month</t>
  </si>
  <si>
    <t>Five Month</t>
  </si>
  <si>
    <t>Six Month</t>
  </si>
  <si>
    <t>Seven Month</t>
  </si>
  <si>
    <t xml:space="preserve">Eight Month </t>
  </si>
  <si>
    <t>Nine Month</t>
  </si>
  <si>
    <t>22, 41</t>
  </si>
  <si>
    <t>28,39</t>
  </si>
  <si>
    <t>19,20,36</t>
  </si>
  <si>
    <t>11,12,43,47</t>
  </si>
  <si>
    <t>8,33</t>
  </si>
  <si>
    <t>full pending</t>
  </si>
  <si>
    <t xml:space="preserve">No Pending </t>
  </si>
  <si>
    <t xml:space="preserve">Pending Month </t>
  </si>
  <si>
    <t>12 MONTH Maintenance</t>
  </si>
  <si>
    <t>13,38</t>
  </si>
  <si>
    <t>1,2,3,4,6,7,9,10,15,18,21,23,24,25,26,27,29,30,31,35,37,40,42,44,45,45</t>
  </si>
  <si>
    <t>5,14,16,17,32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</si>
</sst>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17" fontId="4" fillId="3" borderId="3" xfId="0" applyNumberFormat="1" applyFont="1" applyFill="1" applyBorder="1" applyAlignment="1">
      <alignment horizontal="center" vertical="center"/>
    </xf>
    <xf numFmtId="17" fontId="4" fillId="3" borderId="5" xfId="0" applyNumberFormat="1" applyFont="1" applyFill="1" applyBorder="1" applyAlignment="1">
      <alignment horizontal="center" vertical="center"/>
    </xf>
    <xf numFmtId="0" fontId="3" fillId="0" borderId="7" xfId="0" quotePrefix="1" applyFont="1" applyBorder="1" applyAlignment="1">
      <alignment horizontal="center"/>
    </xf>
    <xf numFmtId="0" fontId="3" fillId="0" borderId="8" xfId="0" quotePrefix="1" applyFont="1" applyBorder="1" applyAlignment="1">
      <alignment horizontal="center"/>
    </xf>
    <xf numFmtId="0" fontId="3" fillId="0" borderId="9" xfId="0" quotePrefix="1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0" fontId="2" fillId="0" borderId="6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7" fontId="4" fillId="3" borderId="4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2" borderId="23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2" fontId="6" fillId="3" borderId="3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17" fontId="4" fillId="0" borderId="1" xfId="0" applyNumberFormat="1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/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/>
    <xf numFmtId="0" fontId="0" fillId="11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1" xfId="0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0" fillId="5" borderId="24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6" fillId="0" borderId="24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0" fillId="9" borderId="24" xfId="0" applyFill="1" applyBorder="1" applyAlignment="1">
      <alignment horizontal="center" vertical="center"/>
    </xf>
    <xf numFmtId="0" fontId="0" fillId="9" borderId="13" xfId="0" applyFill="1" applyBorder="1" applyAlignment="1">
      <alignment horizontal="center" vertical="center"/>
    </xf>
    <xf numFmtId="0" fontId="0" fillId="9" borderId="21" xfId="0" applyFill="1" applyBorder="1" applyAlignment="1">
      <alignment horizontal="center" vertical="center"/>
    </xf>
    <xf numFmtId="0" fontId="0" fillId="10" borderId="24" xfId="0" applyFill="1" applyBorder="1" applyAlignment="1">
      <alignment horizontal="center" vertical="center"/>
    </xf>
    <xf numFmtId="0" fontId="0" fillId="10" borderId="13" xfId="0" applyFill="1" applyBorder="1" applyAlignment="1">
      <alignment horizontal="center" vertical="center"/>
    </xf>
    <xf numFmtId="0" fontId="0" fillId="10" borderId="21" xfId="0" applyFill="1" applyBorder="1" applyAlignment="1">
      <alignment horizontal="center" vertical="center"/>
    </xf>
    <xf numFmtId="0" fontId="0" fillId="11" borderId="24" xfId="0" applyFill="1" applyBorder="1" applyAlignment="1">
      <alignment horizontal="center" vertical="center"/>
    </xf>
    <xf numFmtId="0" fontId="0" fillId="11" borderId="13" xfId="0" applyFill="1" applyBorder="1" applyAlignment="1">
      <alignment horizontal="center" vertical="center"/>
    </xf>
    <xf numFmtId="0" fontId="0" fillId="11" borderId="21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0" fillId="6" borderId="21" xfId="0" applyFill="1" applyBorder="1" applyAlignment="1">
      <alignment horizontal="center" vertical="center"/>
    </xf>
    <xf numFmtId="0" fontId="0" fillId="7" borderId="24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8" borderId="24" xfId="0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8" borderId="21" xfId="0" applyFill="1" applyBorder="1" applyAlignment="1">
      <alignment horizontal="center" vertical="center"/>
    </xf>
    <xf numFmtId="0" fontId="0" fillId="0" borderId="21" xfId="0" applyBorder="1" applyAlignment="1">
      <alignment horizontal="left"/>
    </xf>
    <xf numFmtId="0" fontId="0" fillId="0" borderId="1" xfId="0" applyBorder="1" applyAlignment="1">
      <alignment horizontal="left"/>
    </xf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5" xfId="0" applyBorder="1" applyAlignment="1">
      <alignment horizontal="left"/>
    </xf>
    <xf numFmtId="0" fontId="2" fillId="0" borderId="22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2" fontId="2" fillId="0" borderId="4" xfId="0" applyNumberFormat="1" applyFont="1" applyBorder="1" applyAlignment="1">
      <alignment horizontal="center"/>
    </xf>
    <xf numFmtId="2" fontId="2" fillId="0" borderId="5" xfId="0" applyNumberFormat="1" applyFont="1" applyBorder="1" applyAlignment="1">
      <alignment horizontal="center"/>
    </xf>
    <xf numFmtId="2" fontId="2" fillId="0" borderId="6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53"/>
  <sheetViews>
    <sheetView topLeftCell="A32" workbookViewId="0">
      <selection activeCell="G49" sqref="G49"/>
    </sheetView>
  </sheetViews>
  <sheetFormatPr defaultRowHeight="15" x14ac:dyDescent="0.25"/>
  <cols>
    <col min="1" max="1" width="3.5703125" customWidth="1"/>
    <col min="2" max="2" width="15" customWidth="1"/>
    <col min="3" max="3" width="10.5703125" style="1" customWidth="1"/>
    <col min="4" max="5" width="9.28515625" style="1" bestFit="1" customWidth="1"/>
    <col min="6" max="6" width="9.5703125" style="1" bestFit="1" customWidth="1"/>
    <col min="7" max="7" width="9.5703125" style="1" customWidth="1"/>
  </cols>
  <sheetData>
    <row r="1" spans="2:11" ht="21.75" thickBot="1" x14ac:dyDescent="0.4">
      <c r="B1" s="87" t="s">
        <v>48</v>
      </c>
      <c r="C1" s="88"/>
      <c r="D1" s="88"/>
      <c r="E1" s="88"/>
      <c r="F1" s="88"/>
      <c r="G1" s="88"/>
      <c r="H1" s="88"/>
      <c r="I1" s="88"/>
      <c r="J1" s="88"/>
      <c r="K1" s="89"/>
    </row>
    <row r="2" spans="2:11" ht="21.75" thickBot="1" x14ac:dyDescent="0.4">
      <c r="B2" s="87" t="s">
        <v>59</v>
      </c>
      <c r="C2" s="88"/>
      <c r="D2" s="88"/>
      <c r="E2" s="88"/>
      <c r="F2" s="88"/>
      <c r="G2" s="28"/>
      <c r="H2" s="87" t="s">
        <v>60</v>
      </c>
      <c r="I2" s="88"/>
      <c r="J2" s="88"/>
      <c r="K2" s="89"/>
    </row>
    <row r="3" spans="2:11" s="2" customFormat="1" ht="19.5" thickBot="1" x14ac:dyDescent="0.3">
      <c r="B3" s="3" t="s">
        <v>0</v>
      </c>
      <c r="C3" s="4">
        <v>45870</v>
      </c>
      <c r="D3" s="5">
        <v>45901</v>
      </c>
      <c r="E3" s="4">
        <v>45931</v>
      </c>
      <c r="F3" s="23">
        <v>45962</v>
      </c>
      <c r="G3" s="4">
        <v>45992</v>
      </c>
      <c r="H3" s="90" t="s">
        <v>51</v>
      </c>
      <c r="I3" s="91"/>
      <c r="J3" s="91"/>
      <c r="K3" s="20">
        <v>5000</v>
      </c>
    </row>
    <row r="4" spans="2:11" ht="15.75" x14ac:dyDescent="0.25">
      <c r="B4" s="6" t="s">
        <v>1</v>
      </c>
      <c r="C4" s="9">
        <v>500</v>
      </c>
      <c r="D4" s="12">
        <v>500</v>
      </c>
      <c r="E4" s="9">
        <v>500</v>
      </c>
      <c r="F4" s="24">
        <v>500</v>
      </c>
      <c r="G4" s="9">
        <v>500</v>
      </c>
      <c r="H4" s="92" t="s">
        <v>52</v>
      </c>
      <c r="I4" s="92"/>
      <c r="J4" s="93"/>
      <c r="K4" s="22">
        <v>3000</v>
      </c>
    </row>
    <row r="5" spans="2:11" ht="15.75" x14ac:dyDescent="0.25">
      <c r="B5" s="7" t="s">
        <v>2</v>
      </c>
      <c r="C5" s="10">
        <v>500</v>
      </c>
      <c r="D5" s="13">
        <v>500</v>
      </c>
      <c r="E5" s="10">
        <v>500</v>
      </c>
      <c r="F5" s="25">
        <v>500</v>
      </c>
      <c r="G5" s="10">
        <v>500</v>
      </c>
      <c r="H5" s="85" t="s">
        <v>53</v>
      </c>
      <c r="I5" s="86"/>
      <c r="J5" s="86"/>
      <c r="K5" s="20">
        <v>280</v>
      </c>
    </row>
    <row r="6" spans="2:11" ht="15.75" x14ac:dyDescent="0.25">
      <c r="B6" s="7" t="s">
        <v>3</v>
      </c>
      <c r="C6" s="10">
        <v>500</v>
      </c>
      <c r="D6" s="13">
        <v>500</v>
      </c>
      <c r="E6" s="10">
        <v>500</v>
      </c>
      <c r="F6" s="25">
        <v>500</v>
      </c>
      <c r="G6" s="10">
        <v>500</v>
      </c>
      <c r="H6" s="92" t="s">
        <v>54</v>
      </c>
      <c r="I6" s="92"/>
      <c r="J6" s="93"/>
      <c r="K6" s="22">
        <v>330</v>
      </c>
    </row>
    <row r="7" spans="2:11" ht="15.75" x14ac:dyDescent="0.25">
      <c r="B7" s="7" t="s">
        <v>4</v>
      </c>
      <c r="C7" s="10">
        <v>500</v>
      </c>
      <c r="D7" s="13">
        <v>500</v>
      </c>
      <c r="E7" s="10">
        <v>500</v>
      </c>
      <c r="F7" s="25">
        <v>500</v>
      </c>
      <c r="G7" s="10">
        <v>500</v>
      </c>
      <c r="H7" s="85" t="s">
        <v>56</v>
      </c>
      <c r="I7" s="86"/>
      <c r="J7" s="86"/>
      <c r="K7" s="22">
        <v>40</v>
      </c>
    </row>
    <row r="8" spans="2:11" ht="16.5" thickBot="1" x14ac:dyDescent="0.3">
      <c r="B8" s="7" t="s">
        <v>5</v>
      </c>
      <c r="C8" s="10">
        <v>500</v>
      </c>
      <c r="D8" s="13">
        <v>500</v>
      </c>
      <c r="E8" s="10">
        <v>500</v>
      </c>
      <c r="F8" s="25">
        <v>500</v>
      </c>
      <c r="G8" s="10">
        <v>500</v>
      </c>
      <c r="H8" s="85" t="s">
        <v>55</v>
      </c>
      <c r="I8" s="86"/>
      <c r="J8" s="86"/>
      <c r="K8" s="20">
        <v>1000</v>
      </c>
    </row>
    <row r="9" spans="2:11" ht="16.5" thickBot="1" x14ac:dyDescent="0.3">
      <c r="B9" s="7" t="s">
        <v>6</v>
      </c>
      <c r="C9" s="10">
        <v>500</v>
      </c>
      <c r="D9" s="13">
        <v>500</v>
      </c>
      <c r="E9" s="10">
        <v>500</v>
      </c>
      <c r="F9" s="25">
        <v>500</v>
      </c>
      <c r="G9" s="10">
        <v>500</v>
      </c>
      <c r="H9" s="94" t="s">
        <v>57</v>
      </c>
      <c r="I9" s="95"/>
      <c r="J9" s="96"/>
      <c r="K9" s="19">
        <f>SUM(K3:K8)</f>
        <v>9650</v>
      </c>
    </row>
    <row r="10" spans="2:11" ht="16.5" thickBot="1" x14ac:dyDescent="0.3">
      <c r="B10" s="7" t="s">
        <v>7</v>
      </c>
      <c r="C10" s="10">
        <v>500</v>
      </c>
      <c r="D10" s="13">
        <v>500</v>
      </c>
      <c r="E10" s="10">
        <v>500</v>
      </c>
      <c r="F10" s="25">
        <v>500</v>
      </c>
      <c r="G10" s="10">
        <v>500</v>
      </c>
    </row>
    <row r="11" spans="2:11" ht="16.5" thickBot="1" x14ac:dyDescent="0.3">
      <c r="B11" s="7" t="s">
        <v>8</v>
      </c>
      <c r="C11" s="10">
        <v>500</v>
      </c>
      <c r="D11" s="13">
        <v>500</v>
      </c>
      <c r="E11" s="10">
        <v>500</v>
      </c>
      <c r="F11" s="25">
        <v>500</v>
      </c>
      <c r="G11" s="10"/>
      <c r="H11" s="21" t="s">
        <v>58</v>
      </c>
      <c r="I11" s="97">
        <f>C53-K9</f>
        <v>98850</v>
      </c>
      <c r="J11" s="98"/>
      <c r="K11" s="99"/>
    </row>
    <row r="12" spans="2:11" ht="15.75" x14ac:dyDescent="0.25">
      <c r="B12" s="7" t="s">
        <v>9</v>
      </c>
      <c r="C12" s="10">
        <v>500</v>
      </c>
      <c r="D12" s="13">
        <v>500</v>
      </c>
      <c r="E12" s="10">
        <v>500</v>
      </c>
      <c r="F12" s="25">
        <v>500</v>
      </c>
      <c r="G12" s="10">
        <v>500</v>
      </c>
    </row>
    <row r="13" spans="2:11" ht="15.75" x14ac:dyDescent="0.25">
      <c r="B13" s="7" t="s">
        <v>10</v>
      </c>
      <c r="C13" s="10">
        <v>500</v>
      </c>
      <c r="D13" s="13">
        <v>500</v>
      </c>
      <c r="E13" s="10">
        <v>500</v>
      </c>
      <c r="F13" s="25">
        <v>500</v>
      </c>
      <c r="G13" s="10">
        <v>500</v>
      </c>
    </row>
    <row r="14" spans="2:11" ht="15.75" x14ac:dyDescent="0.25">
      <c r="B14" s="7" t="s">
        <v>11</v>
      </c>
      <c r="C14" s="10">
        <v>500</v>
      </c>
      <c r="D14" s="13">
        <v>500</v>
      </c>
      <c r="E14" s="10">
        <v>500</v>
      </c>
      <c r="F14" s="25">
        <v>500</v>
      </c>
      <c r="G14" s="10">
        <v>500</v>
      </c>
    </row>
    <row r="15" spans="2:11" ht="15.75" x14ac:dyDescent="0.25">
      <c r="B15" s="7" t="s">
        <v>12</v>
      </c>
      <c r="C15" s="10">
        <v>500</v>
      </c>
      <c r="D15" s="13">
        <v>500</v>
      </c>
      <c r="E15" s="10">
        <v>500</v>
      </c>
      <c r="F15" s="25">
        <v>500</v>
      </c>
      <c r="G15" s="10">
        <v>500</v>
      </c>
    </row>
    <row r="16" spans="2:11" ht="15.75" x14ac:dyDescent="0.25">
      <c r="B16" s="7" t="s">
        <v>13</v>
      </c>
      <c r="C16" s="10">
        <v>500</v>
      </c>
      <c r="D16" s="13">
        <v>500</v>
      </c>
      <c r="E16" s="10">
        <v>500</v>
      </c>
      <c r="F16" s="25">
        <v>500</v>
      </c>
      <c r="G16" s="10">
        <v>500</v>
      </c>
    </row>
    <row r="17" spans="2:7" ht="15.75" x14ac:dyDescent="0.25">
      <c r="B17" s="7" t="s">
        <v>14</v>
      </c>
      <c r="C17" s="10">
        <v>500</v>
      </c>
      <c r="D17" s="13">
        <v>500</v>
      </c>
      <c r="E17" s="10">
        <v>500</v>
      </c>
      <c r="F17" s="25">
        <v>500</v>
      </c>
      <c r="G17" s="10">
        <v>500</v>
      </c>
    </row>
    <row r="18" spans="2:7" ht="15.75" x14ac:dyDescent="0.25">
      <c r="B18" s="7" t="s">
        <v>15</v>
      </c>
      <c r="C18" s="10">
        <v>500</v>
      </c>
      <c r="D18" s="13">
        <v>500</v>
      </c>
      <c r="E18" s="10">
        <v>500</v>
      </c>
      <c r="F18" s="25">
        <v>500</v>
      </c>
      <c r="G18" s="10">
        <v>500</v>
      </c>
    </row>
    <row r="19" spans="2:7" ht="15.75" x14ac:dyDescent="0.25">
      <c r="B19" s="7" t="s">
        <v>16</v>
      </c>
      <c r="C19" s="10">
        <v>500</v>
      </c>
      <c r="D19" s="13">
        <v>500</v>
      </c>
      <c r="E19" s="10">
        <v>500</v>
      </c>
      <c r="F19" s="25">
        <v>500</v>
      </c>
      <c r="G19" s="10">
        <v>500</v>
      </c>
    </row>
    <row r="20" spans="2:7" ht="15.75" x14ac:dyDescent="0.25">
      <c r="B20" s="7" t="s">
        <v>17</v>
      </c>
      <c r="C20" s="10">
        <v>500</v>
      </c>
      <c r="D20" s="13">
        <v>500</v>
      </c>
      <c r="E20" s="10">
        <v>500</v>
      </c>
      <c r="F20" s="25">
        <v>500</v>
      </c>
      <c r="G20" s="10">
        <v>500</v>
      </c>
    </row>
    <row r="21" spans="2:7" ht="15.75" x14ac:dyDescent="0.25">
      <c r="B21" s="7" t="s">
        <v>18</v>
      </c>
      <c r="C21" s="10">
        <v>500</v>
      </c>
      <c r="D21" s="13">
        <v>500</v>
      </c>
      <c r="E21" s="10">
        <v>500</v>
      </c>
      <c r="F21" s="25">
        <v>500</v>
      </c>
      <c r="G21" s="10">
        <v>500</v>
      </c>
    </row>
    <row r="22" spans="2:7" ht="15.75" x14ac:dyDescent="0.25">
      <c r="B22" s="7" t="s">
        <v>19</v>
      </c>
      <c r="C22" s="10">
        <v>500</v>
      </c>
      <c r="D22" s="13">
        <v>500</v>
      </c>
      <c r="E22" s="10">
        <v>500</v>
      </c>
      <c r="F22" s="25">
        <v>500</v>
      </c>
      <c r="G22" s="10">
        <v>500</v>
      </c>
    </row>
    <row r="23" spans="2:7" ht="15.75" x14ac:dyDescent="0.25">
      <c r="B23" s="7" t="s">
        <v>20</v>
      </c>
      <c r="C23" s="10">
        <v>500</v>
      </c>
      <c r="D23" s="13">
        <v>500</v>
      </c>
      <c r="E23" s="10">
        <v>500</v>
      </c>
      <c r="F23" s="25">
        <v>500</v>
      </c>
      <c r="G23" s="10">
        <v>500</v>
      </c>
    </row>
    <row r="24" spans="2:7" ht="15.75" x14ac:dyDescent="0.25">
      <c r="B24" s="7" t="s">
        <v>21</v>
      </c>
      <c r="C24" s="10">
        <v>500</v>
      </c>
      <c r="D24" s="13">
        <v>500</v>
      </c>
      <c r="E24" s="10">
        <v>500</v>
      </c>
      <c r="F24" s="25">
        <v>500</v>
      </c>
      <c r="G24" s="10">
        <v>500</v>
      </c>
    </row>
    <row r="25" spans="2:7" ht="15.75" x14ac:dyDescent="0.25">
      <c r="B25" s="7" t="s">
        <v>22</v>
      </c>
      <c r="C25" s="10"/>
      <c r="D25" s="13"/>
      <c r="E25" s="10"/>
      <c r="F25" s="25"/>
      <c r="G25" s="10"/>
    </row>
    <row r="26" spans="2:7" ht="15.75" x14ac:dyDescent="0.25">
      <c r="B26" s="7" t="s">
        <v>23</v>
      </c>
      <c r="C26" s="10">
        <v>500</v>
      </c>
      <c r="D26" s="13">
        <v>500</v>
      </c>
      <c r="E26" s="10">
        <v>500</v>
      </c>
      <c r="F26" s="25">
        <v>500</v>
      </c>
      <c r="G26" s="10">
        <v>500</v>
      </c>
    </row>
    <row r="27" spans="2:7" ht="15.75" x14ac:dyDescent="0.25">
      <c r="B27" s="7" t="s">
        <v>24</v>
      </c>
      <c r="C27" s="10">
        <v>500</v>
      </c>
      <c r="D27" s="13">
        <v>500</v>
      </c>
      <c r="E27" s="10">
        <v>500</v>
      </c>
      <c r="F27" s="25">
        <v>500</v>
      </c>
      <c r="G27" s="10">
        <v>500</v>
      </c>
    </row>
    <row r="28" spans="2:7" ht="15.75" x14ac:dyDescent="0.25">
      <c r="B28" s="7" t="s">
        <v>25</v>
      </c>
      <c r="C28" s="10">
        <v>500</v>
      </c>
      <c r="D28" s="13">
        <v>500</v>
      </c>
      <c r="E28" s="10">
        <v>500</v>
      </c>
      <c r="F28" s="25">
        <v>500</v>
      </c>
      <c r="G28" s="10">
        <v>500</v>
      </c>
    </row>
    <row r="29" spans="2:7" ht="15.75" x14ac:dyDescent="0.25">
      <c r="B29" s="7" t="s">
        <v>26</v>
      </c>
      <c r="C29" s="10">
        <v>500</v>
      </c>
      <c r="D29" s="13">
        <v>500</v>
      </c>
      <c r="E29" s="10">
        <v>500</v>
      </c>
      <c r="F29" s="25">
        <v>500</v>
      </c>
      <c r="G29" s="10">
        <v>500</v>
      </c>
    </row>
    <row r="30" spans="2:7" ht="15.75" x14ac:dyDescent="0.25">
      <c r="B30" s="7" t="s">
        <v>27</v>
      </c>
      <c r="C30" s="10">
        <v>500</v>
      </c>
      <c r="D30" s="13">
        <v>500</v>
      </c>
      <c r="E30" s="10">
        <v>500</v>
      </c>
      <c r="F30" s="25">
        <v>500</v>
      </c>
      <c r="G30" s="10">
        <v>500</v>
      </c>
    </row>
    <row r="31" spans="2:7" ht="15.75" x14ac:dyDescent="0.25">
      <c r="B31" s="7" t="s">
        <v>28</v>
      </c>
      <c r="C31" s="10">
        <v>500</v>
      </c>
      <c r="D31" s="13">
        <v>500</v>
      </c>
      <c r="E31" s="10"/>
      <c r="F31" s="25">
        <v>500</v>
      </c>
      <c r="G31" s="10"/>
    </row>
    <row r="32" spans="2:7" ht="15.75" x14ac:dyDescent="0.25">
      <c r="B32" s="7" t="s">
        <v>29</v>
      </c>
      <c r="C32" s="10">
        <v>500</v>
      </c>
      <c r="D32" s="13">
        <v>500</v>
      </c>
      <c r="E32" s="10">
        <v>500</v>
      </c>
      <c r="F32" s="25">
        <v>500</v>
      </c>
      <c r="G32" s="10">
        <v>500</v>
      </c>
    </row>
    <row r="33" spans="2:7" ht="15.75" x14ac:dyDescent="0.25">
      <c r="B33" s="7" t="s">
        <v>30</v>
      </c>
      <c r="C33" s="10">
        <v>500</v>
      </c>
      <c r="D33" s="13">
        <v>500</v>
      </c>
      <c r="E33" s="10">
        <v>500</v>
      </c>
      <c r="F33" s="25">
        <v>500</v>
      </c>
      <c r="G33" s="10">
        <v>500</v>
      </c>
    </row>
    <row r="34" spans="2:7" ht="15.75" x14ac:dyDescent="0.25">
      <c r="B34" s="7" t="s">
        <v>31</v>
      </c>
      <c r="C34" s="10">
        <v>500</v>
      </c>
      <c r="D34" s="13">
        <v>500</v>
      </c>
      <c r="E34" s="10">
        <v>500</v>
      </c>
      <c r="F34" s="25">
        <v>500</v>
      </c>
      <c r="G34" s="10">
        <v>500</v>
      </c>
    </row>
    <row r="35" spans="2:7" ht="15.75" x14ac:dyDescent="0.25">
      <c r="B35" s="7" t="s">
        <v>32</v>
      </c>
      <c r="C35" s="10">
        <v>500</v>
      </c>
      <c r="D35" s="13">
        <v>500</v>
      </c>
      <c r="E35" s="10">
        <v>500</v>
      </c>
      <c r="F35" s="25">
        <v>500</v>
      </c>
      <c r="G35" s="10">
        <v>500</v>
      </c>
    </row>
    <row r="36" spans="2:7" ht="15.75" x14ac:dyDescent="0.25">
      <c r="B36" s="7" t="s">
        <v>33</v>
      </c>
      <c r="C36" s="10">
        <v>500</v>
      </c>
      <c r="D36" s="13">
        <v>500</v>
      </c>
      <c r="E36" s="10"/>
      <c r="F36" s="25"/>
      <c r="G36" s="10"/>
    </row>
    <row r="37" spans="2:7" ht="15.75" x14ac:dyDescent="0.25">
      <c r="B37" s="7" t="s">
        <v>34</v>
      </c>
      <c r="C37" s="10">
        <v>500</v>
      </c>
      <c r="D37" s="13">
        <v>500</v>
      </c>
      <c r="E37" s="10">
        <v>500</v>
      </c>
      <c r="F37" s="25">
        <v>500</v>
      </c>
      <c r="G37" s="10">
        <v>500</v>
      </c>
    </row>
    <row r="38" spans="2:7" ht="15.75" x14ac:dyDescent="0.25">
      <c r="B38" s="7" t="s">
        <v>35</v>
      </c>
      <c r="C38" s="10">
        <v>500</v>
      </c>
      <c r="D38" s="13">
        <v>500</v>
      </c>
      <c r="E38" s="10">
        <v>500</v>
      </c>
      <c r="F38" s="25">
        <v>500</v>
      </c>
      <c r="G38" s="10">
        <v>500</v>
      </c>
    </row>
    <row r="39" spans="2:7" ht="15.75" x14ac:dyDescent="0.25">
      <c r="B39" s="7" t="s">
        <v>36</v>
      </c>
      <c r="C39" s="10">
        <v>500</v>
      </c>
      <c r="D39" s="13">
        <v>500</v>
      </c>
      <c r="E39" s="10">
        <v>500</v>
      </c>
      <c r="F39" s="25">
        <v>500</v>
      </c>
      <c r="G39" s="10">
        <v>500</v>
      </c>
    </row>
    <row r="40" spans="2:7" ht="15.75" x14ac:dyDescent="0.25">
      <c r="B40" s="7" t="s">
        <v>37</v>
      </c>
      <c r="C40" s="10">
        <v>500</v>
      </c>
      <c r="D40" s="13">
        <v>500</v>
      </c>
      <c r="E40" s="10">
        <v>500</v>
      </c>
      <c r="F40" s="25">
        <v>500</v>
      </c>
      <c r="G40" s="10">
        <v>500</v>
      </c>
    </row>
    <row r="41" spans="2:7" ht="15.75" x14ac:dyDescent="0.25">
      <c r="B41" s="7" t="s">
        <v>38</v>
      </c>
      <c r="C41" s="10">
        <v>500</v>
      </c>
      <c r="D41" s="13">
        <v>500</v>
      </c>
      <c r="E41" s="10">
        <v>500</v>
      </c>
      <c r="F41" s="25">
        <v>500</v>
      </c>
      <c r="G41" s="10">
        <v>500</v>
      </c>
    </row>
    <row r="42" spans="2:7" ht="15.75" x14ac:dyDescent="0.25">
      <c r="B42" s="7" t="s">
        <v>39</v>
      </c>
      <c r="C42" s="10">
        <v>500</v>
      </c>
      <c r="D42" s="13">
        <v>500</v>
      </c>
      <c r="E42" s="10">
        <v>500</v>
      </c>
      <c r="F42" s="25"/>
      <c r="G42" s="10"/>
    </row>
    <row r="43" spans="2:7" ht="15.75" x14ac:dyDescent="0.25">
      <c r="B43" s="7" t="s">
        <v>40</v>
      </c>
      <c r="C43" s="10">
        <v>500</v>
      </c>
      <c r="D43" s="13">
        <v>500</v>
      </c>
      <c r="E43" s="10">
        <v>500</v>
      </c>
      <c r="F43" s="25">
        <v>500</v>
      </c>
      <c r="G43" s="10">
        <v>500</v>
      </c>
    </row>
    <row r="44" spans="2:7" ht="15.75" x14ac:dyDescent="0.25">
      <c r="B44" s="7" t="s">
        <v>41</v>
      </c>
      <c r="C44" s="10"/>
      <c r="D44" s="13"/>
      <c r="E44" s="10"/>
      <c r="F44" s="25"/>
      <c r="G44" s="10"/>
    </row>
    <row r="45" spans="2:7" ht="15.75" x14ac:dyDescent="0.25">
      <c r="B45" s="7" t="s">
        <v>42</v>
      </c>
      <c r="C45" s="10">
        <v>500</v>
      </c>
      <c r="D45" s="13">
        <v>500</v>
      </c>
      <c r="E45" s="10">
        <v>500</v>
      </c>
      <c r="F45" s="13">
        <v>500</v>
      </c>
      <c r="G45" s="10">
        <v>500</v>
      </c>
    </row>
    <row r="46" spans="2:7" ht="15.75" x14ac:dyDescent="0.25">
      <c r="B46" s="7" t="s">
        <v>43</v>
      </c>
      <c r="C46" s="10">
        <v>500</v>
      </c>
      <c r="D46" s="13">
        <v>500</v>
      </c>
      <c r="E46" s="10">
        <v>500</v>
      </c>
      <c r="F46" s="25">
        <v>500</v>
      </c>
      <c r="G46" s="10">
        <v>500</v>
      </c>
    </row>
    <row r="47" spans="2:7" ht="15.75" x14ac:dyDescent="0.25">
      <c r="B47" s="7" t="s">
        <v>44</v>
      </c>
      <c r="C47" s="10">
        <v>500</v>
      </c>
      <c r="D47" s="13">
        <v>500</v>
      </c>
      <c r="E47" s="10">
        <v>500</v>
      </c>
      <c r="F47" s="25">
        <v>500</v>
      </c>
      <c r="G47" s="10">
        <v>500</v>
      </c>
    </row>
    <row r="48" spans="2:7" ht="15.75" x14ac:dyDescent="0.25">
      <c r="B48" s="7" t="s">
        <v>45</v>
      </c>
      <c r="C48" s="10">
        <v>500</v>
      </c>
      <c r="D48" s="13">
        <v>500</v>
      </c>
      <c r="E48" s="10">
        <v>500</v>
      </c>
      <c r="F48" s="25">
        <v>500</v>
      </c>
      <c r="G48" s="10">
        <v>500</v>
      </c>
    </row>
    <row r="49" spans="2:7" ht="15.75" x14ac:dyDescent="0.25">
      <c r="B49" s="7" t="s">
        <v>46</v>
      </c>
      <c r="C49" s="10">
        <v>500</v>
      </c>
      <c r="D49" s="13">
        <v>500</v>
      </c>
      <c r="E49" s="10">
        <v>500</v>
      </c>
      <c r="F49" s="25">
        <v>500</v>
      </c>
      <c r="G49" s="10">
        <v>500</v>
      </c>
    </row>
    <row r="50" spans="2:7" ht="16.5" thickBot="1" x14ac:dyDescent="0.3">
      <c r="B50" s="8" t="s">
        <v>47</v>
      </c>
      <c r="C50" s="11">
        <v>500</v>
      </c>
      <c r="D50" s="14">
        <v>500</v>
      </c>
      <c r="E50" s="11">
        <v>500</v>
      </c>
      <c r="F50" s="26">
        <v>500</v>
      </c>
      <c r="G50" s="10">
        <v>500</v>
      </c>
    </row>
    <row r="51" spans="2:7" ht="16.5" thickBot="1" x14ac:dyDescent="0.3">
      <c r="B51" s="17" t="s">
        <v>49</v>
      </c>
      <c r="C51" s="16">
        <f>SUM(C4:C50)</f>
        <v>22500</v>
      </c>
      <c r="D51" s="15">
        <f t="shared" ref="D51" si="0">SUM(D4:D50)</f>
        <v>22500</v>
      </c>
      <c r="E51" s="16">
        <f>SUM(E4:E50)</f>
        <v>21500</v>
      </c>
      <c r="F51" s="27">
        <f>SUM(F4:F50)</f>
        <v>21500</v>
      </c>
      <c r="G51" s="16">
        <f>SUM(G4:G50)</f>
        <v>20500</v>
      </c>
    </row>
    <row r="52" spans="2:7" ht="15.75" thickBot="1" x14ac:dyDescent="0.3"/>
    <row r="53" spans="2:7" ht="19.5" thickBot="1" x14ac:dyDescent="0.35">
      <c r="B53" s="18" t="s">
        <v>50</v>
      </c>
      <c r="C53" s="18">
        <f>C51+D51+E51+F51+G51</f>
        <v>108500</v>
      </c>
    </row>
  </sheetData>
  <mergeCells count="11">
    <mergeCell ref="H6:J6"/>
    <mergeCell ref="H7:J7"/>
    <mergeCell ref="H8:J8"/>
    <mergeCell ref="H9:J9"/>
    <mergeCell ref="I11:K11"/>
    <mergeCell ref="H5:J5"/>
    <mergeCell ref="B1:K1"/>
    <mergeCell ref="B2:F2"/>
    <mergeCell ref="H2:K2"/>
    <mergeCell ref="H3:J3"/>
    <mergeCell ref="H4:J4"/>
  </mergeCells>
  <phoneticPr fontId="1" type="noConversion"/>
  <pageMargins left="0.51181102362204722" right="0.51181102362204722" top="0.35433070866141736" bottom="0.15748031496062992" header="0.31496062992125984" footer="0.31496062992125984"/>
  <pageSetup scale="85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F13E1-2EF1-418D-8D20-00930E046D5C}">
  <dimension ref="B1:R55"/>
  <sheetViews>
    <sheetView workbookViewId="0">
      <selection activeCell="H11" sqref="H11"/>
    </sheetView>
  </sheetViews>
  <sheetFormatPr defaultRowHeight="15" x14ac:dyDescent="0.25"/>
  <cols>
    <col min="2" max="2" width="18.140625" bestFit="1" customWidth="1"/>
    <col min="3" max="3" width="12" bestFit="1" customWidth="1"/>
    <col min="4" max="4" width="9" bestFit="1" customWidth="1"/>
    <col min="5" max="5" width="9.5703125" bestFit="1" customWidth="1"/>
    <col min="7" max="7" width="9.85546875" bestFit="1" customWidth="1"/>
    <col min="11" max="11" width="9" bestFit="1" customWidth="1"/>
  </cols>
  <sheetData>
    <row r="1" spans="2:18" ht="15.75" thickBot="1" x14ac:dyDescent="0.3"/>
    <row r="2" spans="2:18" ht="21.75" thickBot="1" x14ac:dyDescent="0.4">
      <c r="B2" s="87" t="s">
        <v>48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9"/>
    </row>
    <row r="3" spans="2:18" ht="21.75" thickBot="1" x14ac:dyDescent="0.4">
      <c r="B3" s="87" t="s">
        <v>59</v>
      </c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9"/>
      <c r="O3" s="88" t="s">
        <v>60</v>
      </c>
      <c r="P3" s="88"/>
      <c r="Q3" s="88"/>
      <c r="R3" s="89"/>
    </row>
    <row r="4" spans="2:18" ht="19.5" thickBot="1" x14ac:dyDescent="0.3">
      <c r="B4" s="3" t="s">
        <v>0</v>
      </c>
      <c r="C4" s="4">
        <v>46023</v>
      </c>
      <c r="D4" s="4">
        <v>46054</v>
      </c>
      <c r="E4" s="4">
        <v>46082</v>
      </c>
      <c r="F4" s="4">
        <v>46113</v>
      </c>
      <c r="G4" s="4">
        <v>46143</v>
      </c>
      <c r="H4" s="4">
        <v>46174</v>
      </c>
      <c r="I4" s="4">
        <v>46204</v>
      </c>
      <c r="J4" s="4">
        <v>46235</v>
      </c>
      <c r="K4" s="4">
        <v>46266</v>
      </c>
      <c r="L4" s="4">
        <v>46296</v>
      </c>
      <c r="M4" s="4">
        <v>46327</v>
      </c>
      <c r="N4" s="4">
        <v>46357</v>
      </c>
      <c r="O4" s="90"/>
      <c r="P4" s="91"/>
      <c r="Q4" s="91"/>
      <c r="R4" s="20"/>
    </row>
    <row r="5" spans="2:18" ht="15.75" x14ac:dyDescent="0.25">
      <c r="B5" s="6" t="s">
        <v>1</v>
      </c>
      <c r="C5" s="9">
        <v>500</v>
      </c>
      <c r="D5" s="12">
        <v>500</v>
      </c>
      <c r="E5" s="9">
        <v>500</v>
      </c>
      <c r="F5" s="24">
        <v>500</v>
      </c>
      <c r="G5" s="24">
        <v>500</v>
      </c>
      <c r="H5" s="24"/>
      <c r="I5" s="24"/>
      <c r="J5" s="24"/>
      <c r="K5" s="24"/>
      <c r="L5" s="24"/>
      <c r="M5" s="24"/>
      <c r="N5" s="9"/>
      <c r="O5" s="92" t="s">
        <v>62</v>
      </c>
      <c r="P5" s="92"/>
      <c r="Q5" s="93"/>
      <c r="R5" s="22">
        <v>1300</v>
      </c>
    </row>
    <row r="6" spans="2:18" ht="15.75" x14ac:dyDescent="0.25">
      <c r="B6" s="7" t="s">
        <v>2</v>
      </c>
      <c r="C6" s="10">
        <v>500</v>
      </c>
      <c r="D6" s="13">
        <v>500</v>
      </c>
      <c r="E6" s="10">
        <v>500</v>
      </c>
      <c r="F6" s="25">
        <v>500</v>
      </c>
      <c r="G6" s="25"/>
      <c r="H6" s="25">
        <v>500</v>
      </c>
      <c r="I6" s="25">
        <v>500</v>
      </c>
      <c r="J6" s="25"/>
      <c r="K6" s="25"/>
      <c r="L6" s="25"/>
      <c r="M6" s="25"/>
      <c r="N6" s="10"/>
      <c r="O6" s="85"/>
      <c r="P6" s="86"/>
      <c r="Q6" s="86"/>
      <c r="R6" s="20"/>
    </row>
    <row r="7" spans="2:18" ht="15.75" x14ac:dyDescent="0.25">
      <c r="B7" s="7" t="s">
        <v>3</v>
      </c>
      <c r="C7" s="10">
        <v>500</v>
      </c>
      <c r="D7" s="13">
        <v>500</v>
      </c>
      <c r="E7" s="10">
        <v>500</v>
      </c>
      <c r="F7" s="25">
        <v>500</v>
      </c>
      <c r="G7" s="25">
        <v>500</v>
      </c>
      <c r="H7" s="25">
        <v>500</v>
      </c>
      <c r="I7" s="25">
        <v>500</v>
      </c>
      <c r="J7" s="25"/>
      <c r="K7" s="25"/>
      <c r="L7" s="25"/>
      <c r="M7" s="25"/>
      <c r="N7" s="10"/>
      <c r="O7" s="92"/>
      <c r="P7" s="92"/>
      <c r="Q7" s="93"/>
      <c r="R7" s="22"/>
    </row>
    <row r="8" spans="2:18" ht="15.75" x14ac:dyDescent="0.25">
      <c r="B8" s="7" t="s">
        <v>4</v>
      </c>
      <c r="C8" s="10">
        <v>500</v>
      </c>
      <c r="D8" s="13">
        <v>500</v>
      </c>
      <c r="E8" s="10">
        <v>500</v>
      </c>
      <c r="F8" s="25">
        <v>500</v>
      </c>
      <c r="G8" s="25"/>
      <c r="H8" s="25"/>
      <c r="I8" s="25"/>
      <c r="J8" s="25"/>
      <c r="K8" s="25"/>
      <c r="L8" s="25"/>
      <c r="M8" s="25"/>
      <c r="N8" s="10"/>
      <c r="O8" s="85"/>
      <c r="P8" s="86"/>
      <c r="Q8" s="86"/>
      <c r="R8" s="22"/>
    </row>
    <row r="9" spans="2:18" ht="16.5" thickBot="1" x14ac:dyDescent="0.3">
      <c r="B9" s="7" t="s">
        <v>5</v>
      </c>
      <c r="C9" s="10">
        <v>500</v>
      </c>
      <c r="D9" s="13">
        <v>500</v>
      </c>
      <c r="E9" s="10">
        <v>500</v>
      </c>
      <c r="F9" s="25"/>
      <c r="G9" s="25"/>
      <c r="H9" s="25"/>
      <c r="I9" s="25"/>
      <c r="J9" s="25"/>
      <c r="K9" s="25"/>
      <c r="L9" s="25"/>
      <c r="M9" s="25"/>
      <c r="N9" s="10"/>
      <c r="O9" s="85"/>
      <c r="P9" s="86"/>
      <c r="Q9" s="86"/>
      <c r="R9" s="20"/>
    </row>
    <row r="10" spans="2:18" ht="16.5" thickBot="1" x14ac:dyDescent="0.3">
      <c r="B10" s="7" t="s">
        <v>6</v>
      </c>
      <c r="C10" s="10">
        <v>500</v>
      </c>
      <c r="D10" s="13">
        <v>500</v>
      </c>
      <c r="E10" s="10">
        <v>500</v>
      </c>
      <c r="F10" s="25">
        <v>500</v>
      </c>
      <c r="G10" s="25">
        <v>500</v>
      </c>
      <c r="H10" s="25">
        <v>500</v>
      </c>
      <c r="I10" s="25"/>
      <c r="J10" s="25"/>
      <c r="K10" s="25"/>
      <c r="L10" s="25"/>
      <c r="M10" s="25"/>
      <c r="N10" s="10"/>
      <c r="O10" s="94" t="s">
        <v>57</v>
      </c>
      <c r="P10" s="95"/>
      <c r="Q10" s="96"/>
      <c r="R10" s="19">
        <f>SUM(R4:R9)</f>
        <v>1300</v>
      </c>
    </row>
    <row r="11" spans="2:18" ht="16.5" thickBot="1" x14ac:dyDescent="0.3">
      <c r="B11" s="7" t="s">
        <v>7</v>
      </c>
      <c r="C11" s="10">
        <v>500</v>
      </c>
      <c r="D11" s="13">
        <v>500</v>
      </c>
      <c r="E11" s="10">
        <v>500</v>
      </c>
      <c r="F11" s="25">
        <v>500</v>
      </c>
      <c r="G11" s="25">
        <v>500</v>
      </c>
      <c r="H11" s="25"/>
      <c r="I11" s="25"/>
      <c r="J11" s="25"/>
      <c r="K11" s="25"/>
      <c r="L11" s="25"/>
      <c r="M11" s="25"/>
      <c r="N11" s="10"/>
    </row>
    <row r="12" spans="2:18" ht="16.5" thickBot="1" x14ac:dyDescent="0.3">
      <c r="B12" s="7" t="s">
        <v>8</v>
      </c>
      <c r="C12" s="10"/>
      <c r="D12" s="13"/>
      <c r="E12" s="10"/>
      <c r="F12" s="25"/>
      <c r="G12" s="25"/>
      <c r="H12" s="25"/>
      <c r="I12" s="25"/>
      <c r="J12" s="25"/>
      <c r="K12" s="25"/>
      <c r="L12" s="25"/>
      <c r="M12" s="25"/>
      <c r="N12" s="10"/>
      <c r="O12" s="21" t="s">
        <v>58</v>
      </c>
      <c r="P12" s="97">
        <f>C54+C55-R10</f>
        <v>187550</v>
      </c>
      <c r="Q12" s="98"/>
      <c r="R12" s="99"/>
    </row>
    <row r="13" spans="2:18" ht="15.75" x14ac:dyDescent="0.25">
      <c r="B13" s="7" t="s">
        <v>9</v>
      </c>
      <c r="C13" s="25">
        <v>500</v>
      </c>
      <c r="D13" s="25">
        <v>500</v>
      </c>
      <c r="E13" s="25">
        <v>500</v>
      </c>
      <c r="F13" s="25">
        <v>500</v>
      </c>
      <c r="G13" s="25">
        <v>500</v>
      </c>
      <c r="H13" s="25">
        <v>500</v>
      </c>
      <c r="I13" s="25"/>
      <c r="J13" s="25"/>
      <c r="K13" s="25"/>
      <c r="L13" s="25"/>
      <c r="M13" s="25"/>
      <c r="N13" s="10"/>
    </row>
    <row r="14" spans="2:18" ht="15.75" x14ac:dyDescent="0.25">
      <c r="B14" s="7" t="s">
        <v>10</v>
      </c>
      <c r="C14" s="25">
        <v>500</v>
      </c>
      <c r="D14" s="25">
        <v>500</v>
      </c>
      <c r="E14" s="25">
        <v>500</v>
      </c>
      <c r="F14" s="25">
        <v>500</v>
      </c>
      <c r="G14" s="25">
        <v>500</v>
      </c>
      <c r="H14" s="25">
        <v>500</v>
      </c>
      <c r="I14" s="25"/>
      <c r="J14" s="25"/>
      <c r="K14" s="25"/>
      <c r="L14" s="25"/>
      <c r="M14" s="25"/>
      <c r="N14" s="10"/>
    </row>
    <row r="15" spans="2:18" ht="15.75" x14ac:dyDescent="0.25">
      <c r="B15" s="7" t="s">
        <v>11</v>
      </c>
      <c r="C15" s="10">
        <v>500</v>
      </c>
      <c r="D15" s="13"/>
      <c r="E15" s="10"/>
      <c r="F15" s="25"/>
      <c r="G15" s="25"/>
      <c r="H15" s="25"/>
      <c r="I15" s="25"/>
      <c r="J15" s="25"/>
      <c r="K15" s="25"/>
      <c r="L15" s="25"/>
      <c r="M15" s="25"/>
      <c r="N15" s="10"/>
    </row>
    <row r="16" spans="2:18" ht="15.75" x14ac:dyDescent="0.25">
      <c r="B16" s="7" t="s">
        <v>12</v>
      </c>
      <c r="C16" s="10">
        <v>500</v>
      </c>
      <c r="D16" s="13"/>
      <c r="E16" s="10"/>
      <c r="F16" s="25"/>
      <c r="G16" s="25"/>
      <c r="H16" s="25"/>
      <c r="I16" s="25"/>
      <c r="J16" s="25"/>
      <c r="K16" s="25"/>
      <c r="L16" s="25"/>
      <c r="M16" s="25"/>
      <c r="N16" s="10"/>
    </row>
    <row r="17" spans="2:14" ht="15.75" x14ac:dyDescent="0.25">
      <c r="B17" s="7" t="s">
        <v>13</v>
      </c>
      <c r="C17" s="10">
        <v>500</v>
      </c>
      <c r="D17" s="13">
        <v>500</v>
      </c>
      <c r="E17" s="10">
        <v>500</v>
      </c>
      <c r="F17" s="25"/>
      <c r="G17" s="25"/>
      <c r="H17" s="25"/>
      <c r="I17" s="25"/>
      <c r="J17" s="25"/>
      <c r="K17" s="25"/>
      <c r="L17" s="25"/>
      <c r="M17" s="25"/>
      <c r="N17" s="10"/>
    </row>
    <row r="18" spans="2:14" ht="15.75" x14ac:dyDescent="0.25">
      <c r="B18" s="7" t="s">
        <v>14</v>
      </c>
      <c r="C18" s="10">
        <v>500</v>
      </c>
      <c r="D18" s="13">
        <v>500</v>
      </c>
      <c r="E18" s="10">
        <v>500</v>
      </c>
      <c r="F18" s="25"/>
      <c r="G18" s="25"/>
      <c r="H18" s="25"/>
      <c r="I18" s="25"/>
      <c r="J18" s="25"/>
      <c r="K18" s="25"/>
      <c r="L18" s="25"/>
      <c r="M18" s="25"/>
      <c r="N18" s="10"/>
    </row>
    <row r="19" spans="2:14" ht="15.75" x14ac:dyDescent="0.25">
      <c r="B19" s="7" t="s">
        <v>15</v>
      </c>
      <c r="C19" s="10">
        <v>500</v>
      </c>
      <c r="D19" s="13">
        <v>500</v>
      </c>
      <c r="E19" s="10">
        <v>500</v>
      </c>
      <c r="F19" s="25">
        <v>500</v>
      </c>
      <c r="G19" s="25">
        <v>500</v>
      </c>
      <c r="H19" s="25">
        <v>500</v>
      </c>
      <c r="I19" s="25">
        <v>500</v>
      </c>
      <c r="J19" s="25"/>
      <c r="K19" s="25"/>
      <c r="L19" s="25"/>
      <c r="M19" s="25"/>
      <c r="N19" s="10"/>
    </row>
    <row r="20" spans="2:14" ht="15.75" x14ac:dyDescent="0.25">
      <c r="B20" s="7" t="s">
        <v>16</v>
      </c>
      <c r="C20" s="10"/>
      <c r="D20" s="13">
        <v>500</v>
      </c>
      <c r="E20" s="10"/>
      <c r="F20" s="25"/>
      <c r="G20" s="25"/>
      <c r="H20" s="25"/>
      <c r="I20" s="25"/>
      <c r="J20" s="25"/>
      <c r="K20" s="25"/>
      <c r="L20" s="25"/>
      <c r="M20" s="25"/>
      <c r="N20" s="10"/>
    </row>
    <row r="21" spans="2:14" ht="15.75" x14ac:dyDescent="0.25">
      <c r="B21" s="7" t="s">
        <v>17</v>
      </c>
      <c r="C21" s="10">
        <v>500</v>
      </c>
      <c r="D21" s="13"/>
      <c r="E21" s="10"/>
      <c r="F21" s="25"/>
      <c r="G21" s="25"/>
      <c r="H21" s="25"/>
      <c r="I21" s="25"/>
      <c r="J21" s="25"/>
      <c r="K21" s="25"/>
      <c r="L21" s="25"/>
      <c r="M21" s="25"/>
      <c r="N21" s="10"/>
    </row>
    <row r="22" spans="2:14" ht="15.75" x14ac:dyDescent="0.25">
      <c r="B22" s="7" t="s">
        <v>18</v>
      </c>
      <c r="C22" s="10">
        <v>500</v>
      </c>
      <c r="D22" s="13">
        <v>500</v>
      </c>
      <c r="E22" s="10">
        <v>500</v>
      </c>
      <c r="F22" s="25">
        <v>500</v>
      </c>
      <c r="G22" s="25">
        <v>500</v>
      </c>
      <c r="H22" s="25">
        <v>500</v>
      </c>
      <c r="I22" s="25">
        <v>500</v>
      </c>
      <c r="J22" s="25"/>
      <c r="K22" s="25"/>
      <c r="L22" s="25"/>
      <c r="M22" s="25"/>
      <c r="N22" s="10"/>
    </row>
    <row r="23" spans="2:14" ht="15.75" x14ac:dyDescent="0.25">
      <c r="B23" s="7" t="s">
        <v>19</v>
      </c>
      <c r="C23" s="10"/>
      <c r="D23" s="13"/>
      <c r="E23" s="10"/>
      <c r="F23" s="25"/>
      <c r="G23" s="25"/>
      <c r="H23" s="25"/>
      <c r="I23" s="25"/>
      <c r="J23" s="25"/>
      <c r="K23" s="25"/>
      <c r="L23" s="25"/>
      <c r="M23" s="25"/>
      <c r="N23" s="10"/>
    </row>
    <row r="24" spans="2:14" ht="15.75" x14ac:dyDescent="0.25">
      <c r="B24" s="7" t="s">
        <v>20</v>
      </c>
      <c r="C24" s="10">
        <v>500</v>
      </c>
      <c r="D24" s="13"/>
      <c r="E24" s="10"/>
      <c r="F24" s="25">
        <v>500</v>
      </c>
      <c r="G24" s="25"/>
      <c r="H24" s="25"/>
      <c r="I24" s="25"/>
      <c r="J24" s="25"/>
      <c r="K24" s="25"/>
      <c r="L24" s="25"/>
      <c r="M24" s="25"/>
      <c r="N24" s="10"/>
    </row>
    <row r="25" spans="2:14" ht="15.75" x14ac:dyDescent="0.25">
      <c r="B25" s="7" t="s">
        <v>21</v>
      </c>
      <c r="C25" s="10">
        <v>500</v>
      </c>
      <c r="D25" s="13">
        <v>500</v>
      </c>
      <c r="E25" s="10">
        <v>500</v>
      </c>
      <c r="F25" s="25">
        <v>500</v>
      </c>
      <c r="G25" s="25">
        <v>500</v>
      </c>
      <c r="H25" s="25"/>
      <c r="I25" s="25"/>
      <c r="J25" s="25"/>
      <c r="K25" s="25"/>
      <c r="L25" s="25"/>
      <c r="M25" s="25"/>
      <c r="N25" s="10"/>
    </row>
    <row r="26" spans="2:14" ht="15.75" x14ac:dyDescent="0.25">
      <c r="B26" s="7" t="s">
        <v>22</v>
      </c>
      <c r="C26" s="10"/>
      <c r="D26" s="13"/>
      <c r="E26" s="10"/>
      <c r="F26" s="25"/>
      <c r="G26" s="25"/>
      <c r="H26" s="25"/>
      <c r="I26" s="25"/>
      <c r="J26" s="25"/>
      <c r="K26" s="25"/>
      <c r="L26" s="25"/>
      <c r="M26" s="25"/>
      <c r="N26" s="10"/>
    </row>
    <row r="27" spans="2:14" ht="15.75" x14ac:dyDescent="0.25">
      <c r="B27" s="7" t="s">
        <v>23</v>
      </c>
      <c r="C27" s="10">
        <v>500</v>
      </c>
      <c r="D27" s="13">
        <v>500</v>
      </c>
      <c r="E27" s="10">
        <v>500</v>
      </c>
      <c r="F27" s="25">
        <v>500</v>
      </c>
      <c r="G27" s="25">
        <v>500</v>
      </c>
      <c r="H27" s="25">
        <v>500</v>
      </c>
      <c r="I27" s="25">
        <v>500</v>
      </c>
      <c r="J27" s="25"/>
      <c r="K27" s="25"/>
      <c r="L27" s="25"/>
      <c r="M27" s="25"/>
      <c r="N27" s="10"/>
    </row>
    <row r="28" spans="2:14" ht="15.75" x14ac:dyDescent="0.25">
      <c r="B28" s="7" t="s">
        <v>24</v>
      </c>
      <c r="C28" s="10">
        <v>500</v>
      </c>
      <c r="D28" s="13">
        <v>500</v>
      </c>
      <c r="E28" s="10">
        <v>500</v>
      </c>
      <c r="F28" s="25">
        <v>500</v>
      </c>
      <c r="G28" s="25">
        <v>500</v>
      </c>
      <c r="H28" s="25">
        <v>500</v>
      </c>
      <c r="I28" s="25"/>
      <c r="J28" s="25"/>
      <c r="K28" s="25"/>
      <c r="L28" s="25"/>
      <c r="M28" s="25"/>
      <c r="N28" s="10"/>
    </row>
    <row r="29" spans="2:14" ht="15.75" x14ac:dyDescent="0.25">
      <c r="B29" s="7" t="s">
        <v>25</v>
      </c>
      <c r="C29" s="10">
        <v>500</v>
      </c>
      <c r="D29" s="13">
        <v>500</v>
      </c>
      <c r="E29" s="10">
        <v>500</v>
      </c>
      <c r="F29" s="10">
        <v>500</v>
      </c>
      <c r="G29" s="25">
        <v>500</v>
      </c>
      <c r="H29" s="25">
        <v>500</v>
      </c>
      <c r="I29" s="25">
        <v>500</v>
      </c>
      <c r="J29" s="25"/>
      <c r="K29" s="25"/>
      <c r="L29" s="25"/>
      <c r="M29" s="25"/>
      <c r="N29" s="10"/>
    </row>
    <row r="30" spans="2:14" ht="15.75" x14ac:dyDescent="0.25">
      <c r="B30" s="7" t="s">
        <v>26</v>
      </c>
      <c r="C30" s="10">
        <v>500</v>
      </c>
      <c r="D30" s="13">
        <v>500</v>
      </c>
      <c r="E30" s="10">
        <v>500</v>
      </c>
      <c r="F30" s="10">
        <v>500</v>
      </c>
      <c r="G30" s="25">
        <v>500</v>
      </c>
      <c r="H30" s="25">
        <v>500</v>
      </c>
      <c r="I30" s="25">
        <v>500</v>
      </c>
      <c r="J30" s="25"/>
      <c r="K30" s="25"/>
      <c r="L30" s="25"/>
      <c r="M30" s="25"/>
      <c r="N30" s="10"/>
    </row>
    <row r="31" spans="2:14" ht="15.75" x14ac:dyDescent="0.25">
      <c r="B31" s="7" t="s">
        <v>27</v>
      </c>
      <c r="C31" s="10">
        <v>500</v>
      </c>
      <c r="D31" s="13">
        <v>500</v>
      </c>
      <c r="E31" s="10">
        <v>500</v>
      </c>
      <c r="F31" s="25">
        <v>500</v>
      </c>
      <c r="G31" s="25">
        <v>500</v>
      </c>
      <c r="H31" s="25">
        <v>500</v>
      </c>
      <c r="I31" s="25">
        <v>500</v>
      </c>
      <c r="J31" s="25"/>
      <c r="K31" s="25"/>
      <c r="L31" s="25"/>
      <c r="M31" s="25"/>
      <c r="N31" s="10"/>
    </row>
    <row r="32" spans="2:14" ht="15.75" x14ac:dyDescent="0.25">
      <c r="B32" s="7" t="s">
        <v>28</v>
      </c>
      <c r="C32" s="10"/>
      <c r="D32" s="13"/>
      <c r="E32" s="10"/>
      <c r="F32" s="25"/>
      <c r="G32" s="25"/>
      <c r="H32" s="25"/>
      <c r="I32" s="25"/>
      <c r="J32" s="25"/>
      <c r="K32" s="25"/>
      <c r="L32" s="25"/>
      <c r="M32" s="25"/>
      <c r="N32" s="10"/>
    </row>
    <row r="33" spans="2:14" ht="15.75" x14ac:dyDescent="0.25">
      <c r="B33" s="7" t="s">
        <v>29</v>
      </c>
      <c r="C33" s="10">
        <v>500</v>
      </c>
      <c r="D33" s="10">
        <v>500</v>
      </c>
      <c r="E33" s="10">
        <v>500</v>
      </c>
      <c r="F33" s="25"/>
      <c r="G33" s="25"/>
      <c r="H33" s="25"/>
      <c r="I33" s="25"/>
      <c r="J33" s="25"/>
      <c r="K33" s="25"/>
      <c r="L33" s="25"/>
      <c r="M33" s="25"/>
      <c r="N33" s="10"/>
    </row>
    <row r="34" spans="2:14" ht="15.75" x14ac:dyDescent="0.25">
      <c r="B34" s="7" t="s">
        <v>30</v>
      </c>
      <c r="C34" s="10">
        <v>500</v>
      </c>
      <c r="D34" s="10">
        <v>500</v>
      </c>
      <c r="E34" s="10">
        <v>500</v>
      </c>
      <c r="F34" s="25"/>
      <c r="G34" s="25"/>
      <c r="H34" s="25"/>
      <c r="I34" s="25"/>
      <c r="J34" s="25"/>
      <c r="K34" s="25"/>
      <c r="L34" s="25"/>
      <c r="M34" s="25"/>
      <c r="N34" s="10"/>
    </row>
    <row r="35" spans="2:14" ht="15.75" x14ac:dyDescent="0.25">
      <c r="B35" s="7" t="s">
        <v>31</v>
      </c>
      <c r="C35" s="10">
        <v>500</v>
      </c>
      <c r="D35" s="10">
        <v>500</v>
      </c>
      <c r="E35" s="10">
        <v>500</v>
      </c>
      <c r="F35" s="25"/>
      <c r="G35" s="25"/>
      <c r="H35" s="25"/>
      <c r="I35" s="25"/>
      <c r="J35" s="25"/>
      <c r="K35" s="25"/>
      <c r="L35" s="25"/>
      <c r="M35" s="25"/>
      <c r="N35" s="10"/>
    </row>
    <row r="36" spans="2:14" ht="15.75" x14ac:dyDescent="0.25">
      <c r="B36" s="7" t="s">
        <v>32</v>
      </c>
      <c r="C36" s="10">
        <v>500</v>
      </c>
      <c r="D36" s="13">
        <v>500</v>
      </c>
      <c r="E36" s="10">
        <v>500</v>
      </c>
      <c r="F36" s="25">
        <v>500</v>
      </c>
      <c r="G36" s="25">
        <v>500</v>
      </c>
      <c r="H36" s="25">
        <v>500</v>
      </c>
      <c r="I36" s="25"/>
      <c r="J36" s="25"/>
      <c r="K36" s="25"/>
      <c r="L36" s="25"/>
      <c r="M36" s="25"/>
      <c r="N36" s="10"/>
    </row>
    <row r="37" spans="2:14" ht="15.75" x14ac:dyDescent="0.25">
      <c r="B37" s="7" t="s">
        <v>33</v>
      </c>
      <c r="C37" s="10"/>
      <c r="D37" s="13"/>
      <c r="E37" s="10"/>
      <c r="F37" s="25"/>
      <c r="G37" s="25"/>
      <c r="H37" s="25"/>
      <c r="I37" s="25"/>
      <c r="J37" s="25"/>
      <c r="K37" s="25"/>
      <c r="L37" s="25"/>
      <c r="M37" s="25"/>
      <c r="N37" s="10"/>
    </row>
    <row r="38" spans="2:14" ht="15.75" x14ac:dyDescent="0.25">
      <c r="B38" s="7" t="s">
        <v>34</v>
      </c>
      <c r="C38" s="10">
        <v>500</v>
      </c>
      <c r="D38" s="13">
        <v>500</v>
      </c>
      <c r="E38" s="10"/>
      <c r="F38" s="25">
        <v>500</v>
      </c>
      <c r="G38" s="25">
        <v>500</v>
      </c>
      <c r="H38" s="25"/>
      <c r="I38" s="25"/>
      <c r="J38" s="25"/>
      <c r="K38" s="25"/>
      <c r="L38" s="25"/>
      <c r="M38" s="25"/>
      <c r="N38" s="10"/>
    </row>
    <row r="39" spans="2:14" ht="15.75" x14ac:dyDescent="0.25">
      <c r="B39" s="7" t="s">
        <v>35</v>
      </c>
      <c r="C39" s="10">
        <v>500</v>
      </c>
      <c r="D39" s="10">
        <v>500</v>
      </c>
      <c r="E39" s="10">
        <v>500</v>
      </c>
      <c r="F39" s="10">
        <v>500</v>
      </c>
      <c r="G39" s="10">
        <v>500</v>
      </c>
      <c r="H39" s="10">
        <v>500</v>
      </c>
      <c r="I39" s="10">
        <v>500</v>
      </c>
      <c r="J39" s="25"/>
      <c r="K39" s="25"/>
      <c r="L39" s="25"/>
      <c r="M39" s="25"/>
      <c r="N39" s="10"/>
    </row>
    <row r="40" spans="2:14" ht="15.75" x14ac:dyDescent="0.25">
      <c r="B40" s="7" t="s">
        <v>36</v>
      </c>
      <c r="C40" s="10">
        <v>500</v>
      </c>
      <c r="D40" s="13">
        <v>500</v>
      </c>
      <c r="E40" s="10">
        <v>500</v>
      </c>
      <c r="F40" s="25"/>
      <c r="G40" s="25"/>
      <c r="H40" s="25"/>
      <c r="I40" s="25"/>
      <c r="J40" s="25"/>
      <c r="K40" s="25"/>
      <c r="L40" s="25"/>
      <c r="M40" s="25"/>
      <c r="N40" s="10"/>
    </row>
    <row r="41" spans="2:14" ht="15.75" x14ac:dyDescent="0.25">
      <c r="B41" s="7" t="s">
        <v>37</v>
      </c>
      <c r="C41" s="10">
        <v>500</v>
      </c>
      <c r="D41" s="13">
        <v>500</v>
      </c>
      <c r="E41" s="10">
        <v>500</v>
      </c>
      <c r="F41" s="10">
        <v>500</v>
      </c>
      <c r="G41" s="10">
        <v>500</v>
      </c>
      <c r="H41" s="10">
        <v>500</v>
      </c>
      <c r="I41" s="10">
        <v>500</v>
      </c>
      <c r="J41" s="10">
        <v>500</v>
      </c>
      <c r="K41" s="10">
        <v>500</v>
      </c>
      <c r="L41" s="10">
        <v>500</v>
      </c>
      <c r="M41" s="10">
        <v>500</v>
      </c>
      <c r="N41" s="10">
        <v>500</v>
      </c>
    </row>
    <row r="42" spans="2:14" ht="15.75" x14ac:dyDescent="0.25">
      <c r="B42" s="7" t="s">
        <v>38</v>
      </c>
      <c r="C42" s="10">
        <v>500</v>
      </c>
      <c r="D42" s="13">
        <v>500</v>
      </c>
      <c r="E42" s="10">
        <v>500</v>
      </c>
      <c r="F42" s="25">
        <v>500</v>
      </c>
      <c r="G42" s="25"/>
      <c r="H42" s="25"/>
      <c r="I42" s="25"/>
      <c r="J42" s="25"/>
      <c r="K42" s="25"/>
      <c r="L42" s="25"/>
      <c r="M42" s="25"/>
      <c r="N42" s="10"/>
    </row>
    <row r="43" spans="2:14" ht="15.75" x14ac:dyDescent="0.25">
      <c r="B43" s="7" t="s">
        <v>39</v>
      </c>
      <c r="C43" s="10"/>
      <c r="D43" s="13"/>
      <c r="E43" s="10"/>
      <c r="F43" s="25"/>
      <c r="G43" s="25"/>
      <c r="H43" s="25"/>
      <c r="I43" s="25"/>
      <c r="J43" s="25"/>
      <c r="K43" s="25"/>
      <c r="L43" s="25"/>
      <c r="M43" s="25"/>
      <c r="N43" s="10"/>
    </row>
    <row r="44" spans="2:14" ht="15.75" x14ac:dyDescent="0.25">
      <c r="B44" s="7" t="s">
        <v>40</v>
      </c>
      <c r="C44" s="10">
        <v>500</v>
      </c>
      <c r="D44" s="13">
        <v>500</v>
      </c>
      <c r="E44" s="10"/>
      <c r="F44" s="25">
        <v>500</v>
      </c>
      <c r="G44" s="25">
        <v>500</v>
      </c>
      <c r="H44" s="25">
        <v>500</v>
      </c>
      <c r="I44" s="25"/>
      <c r="J44" s="25"/>
      <c r="K44" s="25"/>
      <c r="L44" s="25"/>
      <c r="M44" s="25"/>
      <c r="N44" s="10"/>
    </row>
    <row r="45" spans="2:14" ht="15.75" x14ac:dyDescent="0.25">
      <c r="B45" s="7" t="s">
        <v>41</v>
      </c>
      <c r="C45" s="10"/>
      <c r="D45" s="13"/>
      <c r="E45" s="10"/>
      <c r="F45" s="25"/>
      <c r="G45" s="25"/>
      <c r="H45" s="25"/>
      <c r="I45" s="25"/>
      <c r="J45" s="25"/>
      <c r="K45" s="25"/>
      <c r="L45" s="25"/>
      <c r="M45" s="25"/>
      <c r="N45" s="10"/>
    </row>
    <row r="46" spans="2:14" ht="15.75" x14ac:dyDescent="0.25">
      <c r="B46" s="7" t="s">
        <v>42</v>
      </c>
      <c r="C46" s="10"/>
      <c r="D46" s="13"/>
      <c r="E46" s="10"/>
      <c r="F46" s="25"/>
      <c r="G46" s="25"/>
      <c r="H46" s="25"/>
      <c r="I46" s="25"/>
      <c r="J46" s="25"/>
      <c r="K46" s="25"/>
      <c r="L46" s="25"/>
      <c r="M46" s="25"/>
      <c r="N46" s="10"/>
    </row>
    <row r="47" spans="2:14" ht="15.75" x14ac:dyDescent="0.25">
      <c r="B47" s="7" t="s">
        <v>43</v>
      </c>
      <c r="C47" s="10">
        <v>500</v>
      </c>
      <c r="D47" s="13"/>
      <c r="E47" s="10"/>
      <c r="F47" s="25"/>
      <c r="G47" s="25"/>
      <c r="H47" s="25"/>
      <c r="I47" s="25"/>
      <c r="J47" s="25"/>
      <c r="K47" s="25"/>
      <c r="L47" s="25"/>
      <c r="M47" s="25"/>
      <c r="N47" s="10"/>
    </row>
    <row r="48" spans="2:14" ht="15.75" x14ac:dyDescent="0.25">
      <c r="B48" s="7" t="s">
        <v>44</v>
      </c>
      <c r="C48" s="10">
        <v>500</v>
      </c>
      <c r="D48" s="13">
        <v>500</v>
      </c>
      <c r="E48" s="10">
        <v>500</v>
      </c>
      <c r="F48" s="10">
        <v>500</v>
      </c>
      <c r="G48" s="10">
        <v>500</v>
      </c>
      <c r="H48" s="25"/>
      <c r="I48" s="25"/>
      <c r="J48" s="25"/>
      <c r="K48" s="25"/>
      <c r="L48" s="25"/>
      <c r="M48" s="25"/>
      <c r="N48" s="10"/>
    </row>
    <row r="49" spans="2:14" ht="15.75" x14ac:dyDescent="0.25">
      <c r="B49" s="7" t="s">
        <v>45</v>
      </c>
      <c r="C49" s="10">
        <v>500</v>
      </c>
      <c r="D49" s="13">
        <v>500</v>
      </c>
      <c r="E49" s="10">
        <v>500</v>
      </c>
      <c r="F49" s="25"/>
      <c r="G49" s="25">
        <v>500</v>
      </c>
      <c r="H49" s="25">
        <v>500</v>
      </c>
      <c r="I49" s="25"/>
      <c r="J49" s="25"/>
      <c r="K49" s="25"/>
      <c r="L49" s="25"/>
      <c r="M49" s="25"/>
      <c r="N49" s="10"/>
    </row>
    <row r="50" spans="2:14" ht="15.75" x14ac:dyDescent="0.25">
      <c r="B50" s="7" t="s">
        <v>46</v>
      </c>
      <c r="C50" s="10">
        <v>500</v>
      </c>
      <c r="D50" s="13">
        <v>500</v>
      </c>
      <c r="E50" s="10">
        <v>500</v>
      </c>
      <c r="F50" s="25">
        <v>500</v>
      </c>
      <c r="G50" s="25">
        <v>500</v>
      </c>
      <c r="H50" s="25"/>
      <c r="I50" s="25"/>
      <c r="J50" s="25"/>
      <c r="K50" s="25"/>
      <c r="L50" s="25"/>
      <c r="M50" s="25"/>
      <c r="N50" s="10"/>
    </row>
    <row r="51" spans="2:14" ht="16.5" thickBot="1" x14ac:dyDescent="0.3">
      <c r="B51" s="8" t="s">
        <v>47</v>
      </c>
      <c r="C51" s="11"/>
      <c r="D51" s="14">
        <v>500</v>
      </c>
      <c r="E51" s="11"/>
      <c r="F51" s="26"/>
      <c r="G51" s="26"/>
      <c r="H51" s="26"/>
      <c r="I51" s="26"/>
      <c r="J51" s="26"/>
      <c r="K51" s="26"/>
      <c r="L51" s="26"/>
      <c r="M51" s="26"/>
      <c r="N51" s="11"/>
    </row>
    <row r="52" spans="2:14" ht="16.5" thickBot="1" x14ac:dyDescent="0.3">
      <c r="B52" s="17" t="s">
        <v>49</v>
      </c>
      <c r="C52" s="16">
        <f>SUM(C5:C51)</f>
        <v>18500</v>
      </c>
      <c r="D52" s="15">
        <f>SUM(D5:D51)</f>
        <v>17000</v>
      </c>
      <c r="E52" s="16">
        <f>SUM(E5:E51)</f>
        <v>15000</v>
      </c>
      <c r="F52" s="16">
        <f t="shared" ref="F52:N52" si="0">SUM(F5:F51)</f>
        <v>12500</v>
      </c>
      <c r="G52" s="16">
        <f t="shared" si="0"/>
        <v>11000</v>
      </c>
      <c r="H52" s="16">
        <f t="shared" si="0"/>
        <v>8500</v>
      </c>
      <c r="I52" s="16">
        <f t="shared" si="0"/>
        <v>5000</v>
      </c>
      <c r="J52" s="16">
        <f t="shared" si="0"/>
        <v>500</v>
      </c>
      <c r="K52" s="16">
        <f t="shared" si="0"/>
        <v>500</v>
      </c>
      <c r="L52" s="16">
        <f t="shared" si="0"/>
        <v>500</v>
      </c>
      <c r="M52" s="16">
        <f t="shared" si="0"/>
        <v>500</v>
      </c>
      <c r="N52" s="16">
        <f t="shared" si="0"/>
        <v>500</v>
      </c>
    </row>
    <row r="53" spans="2:14" ht="16.5" thickBot="1" x14ac:dyDescent="0.3">
      <c r="B53" s="29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</row>
    <row r="54" spans="2:14" ht="19.5" thickBot="1" x14ac:dyDescent="0.35">
      <c r="B54" s="18" t="s">
        <v>61</v>
      </c>
      <c r="C54" s="31">
        <f>'2025'!I11</f>
        <v>98850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2:14" ht="19.5" thickBot="1" x14ac:dyDescent="0.35">
      <c r="B55" s="18" t="s">
        <v>50</v>
      </c>
      <c r="C55" s="18">
        <f>C52+D52+E52+F52+G52+H52+I52+J52+K52+L52+M52+N52</f>
        <v>90000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</sheetData>
  <mergeCells count="11">
    <mergeCell ref="O6:Q6"/>
    <mergeCell ref="B2:R2"/>
    <mergeCell ref="B3:N3"/>
    <mergeCell ref="O3:R3"/>
    <mergeCell ref="O4:Q4"/>
    <mergeCell ref="O5:Q5"/>
    <mergeCell ref="O7:Q7"/>
    <mergeCell ref="O8:Q8"/>
    <mergeCell ref="O9:Q9"/>
    <mergeCell ref="O10:Q10"/>
    <mergeCell ref="P12:R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39F64-2849-4F14-8EAC-66744DAEABA6}">
  <dimension ref="A1:AV31"/>
  <sheetViews>
    <sheetView tabSelected="1" zoomScale="80" zoomScaleNormal="80" workbookViewId="0">
      <selection activeCell="D23" sqref="D23:L23"/>
    </sheetView>
  </sheetViews>
  <sheetFormatPr defaultRowHeight="15" x14ac:dyDescent="0.25"/>
  <cols>
    <col min="1" max="1" width="17.7109375" customWidth="1"/>
    <col min="2" max="2" width="17" style="2" bestFit="1" customWidth="1"/>
    <col min="3" max="3" width="6.42578125" customWidth="1"/>
    <col min="4" max="4" width="6.85546875" customWidth="1"/>
    <col min="5" max="5" width="6.42578125" customWidth="1"/>
    <col min="6" max="6" width="6.5703125" customWidth="1"/>
    <col min="7" max="8" width="6.28515625" bestFit="1" customWidth="1"/>
    <col min="9" max="9" width="5.85546875" bestFit="1" customWidth="1"/>
    <col min="10" max="11" width="6.28515625" bestFit="1" customWidth="1"/>
    <col min="12" max="14" width="5.85546875" bestFit="1" customWidth="1"/>
    <col min="15" max="19" width="6.28515625" bestFit="1" customWidth="1"/>
    <col min="20" max="21" width="5.85546875" bestFit="1" customWidth="1"/>
    <col min="22" max="22" width="6.28515625" bestFit="1" customWidth="1"/>
    <col min="23" max="23" width="5.85546875" bestFit="1" customWidth="1"/>
    <col min="24" max="24" width="6.28515625" customWidth="1"/>
    <col min="25" max="28" width="6.28515625" bestFit="1" customWidth="1"/>
    <col min="29" max="29" width="5.85546875" style="1" bestFit="1" customWidth="1"/>
    <col min="30" max="33" width="6.28515625" bestFit="1" customWidth="1"/>
    <col min="34" max="35" width="5.85546875" bestFit="1" customWidth="1"/>
    <col min="36" max="36" width="6.28515625" bestFit="1" customWidth="1"/>
    <col min="37" max="37" width="5.85546875" bestFit="1" customWidth="1"/>
    <col min="38" max="38" width="6.28515625" bestFit="1" customWidth="1"/>
    <col min="39" max="40" width="5.85546875" bestFit="1" customWidth="1"/>
    <col min="41" max="41" width="6.28515625" bestFit="1" customWidth="1"/>
    <col min="42" max="42" width="5.85546875" bestFit="1" customWidth="1"/>
    <col min="43" max="43" width="6.28515625" bestFit="1" customWidth="1"/>
    <col min="44" max="44" width="5.85546875" bestFit="1" customWidth="1"/>
    <col min="45" max="47" width="6.28515625" bestFit="1" customWidth="1"/>
    <col min="48" max="48" width="5.85546875" bestFit="1" customWidth="1"/>
  </cols>
  <sheetData>
    <row r="1" spans="1:48" ht="23.25" x14ac:dyDescent="0.35">
      <c r="A1" s="57" t="s">
        <v>82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 t="s">
        <v>82</v>
      </c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</row>
    <row r="2" spans="1:48" ht="18.75" x14ac:dyDescent="0.25">
      <c r="A2" s="51" t="s">
        <v>0</v>
      </c>
      <c r="B2" s="38">
        <v>1</v>
      </c>
      <c r="C2" s="38">
        <v>2</v>
      </c>
      <c r="D2" s="38">
        <v>3</v>
      </c>
      <c r="E2" s="38">
        <v>4</v>
      </c>
      <c r="F2" s="39">
        <v>5</v>
      </c>
      <c r="G2" s="38">
        <v>6</v>
      </c>
      <c r="H2" s="38">
        <v>7</v>
      </c>
      <c r="I2" s="46">
        <v>8</v>
      </c>
      <c r="J2" s="38">
        <v>9</v>
      </c>
      <c r="K2" s="38">
        <v>10</v>
      </c>
      <c r="L2" s="43">
        <v>11</v>
      </c>
      <c r="M2" s="43">
        <v>12</v>
      </c>
      <c r="N2" s="41">
        <v>13</v>
      </c>
      <c r="O2" s="39">
        <v>14</v>
      </c>
      <c r="P2" s="38">
        <v>15</v>
      </c>
      <c r="Q2" s="39">
        <v>16</v>
      </c>
      <c r="R2" s="39">
        <v>17</v>
      </c>
      <c r="S2" s="38">
        <v>18</v>
      </c>
      <c r="T2" s="42">
        <v>19</v>
      </c>
      <c r="U2" s="42">
        <v>20</v>
      </c>
      <c r="V2" s="38">
        <v>21</v>
      </c>
      <c r="W2" s="32">
        <v>22</v>
      </c>
      <c r="X2" s="38">
        <v>23</v>
      </c>
      <c r="Y2" s="38">
        <v>24</v>
      </c>
      <c r="Z2" s="38">
        <v>25</v>
      </c>
      <c r="AA2" s="38">
        <v>26</v>
      </c>
      <c r="AB2" s="38">
        <v>27</v>
      </c>
      <c r="AC2" s="48">
        <v>28</v>
      </c>
      <c r="AD2" s="38">
        <v>29</v>
      </c>
      <c r="AE2" s="38">
        <v>30</v>
      </c>
      <c r="AF2" s="38">
        <v>31</v>
      </c>
      <c r="AG2" s="39">
        <v>32</v>
      </c>
      <c r="AH2" s="46">
        <v>33</v>
      </c>
      <c r="AI2" s="40">
        <v>34</v>
      </c>
      <c r="AJ2" s="38">
        <v>35</v>
      </c>
      <c r="AK2" s="42">
        <v>36</v>
      </c>
      <c r="AL2" s="38">
        <v>37</v>
      </c>
      <c r="AM2" s="41">
        <v>38</v>
      </c>
      <c r="AN2" s="48">
        <v>39</v>
      </c>
      <c r="AO2" s="38">
        <v>40</v>
      </c>
      <c r="AP2" s="32">
        <v>41</v>
      </c>
      <c r="AQ2" s="38">
        <v>42</v>
      </c>
      <c r="AR2" s="43">
        <v>43</v>
      </c>
      <c r="AS2" s="38">
        <v>44</v>
      </c>
      <c r="AT2" s="38">
        <v>45</v>
      </c>
      <c r="AU2" s="38">
        <v>46</v>
      </c>
      <c r="AV2" s="43">
        <v>47</v>
      </c>
    </row>
    <row r="3" spans="1:48" ht="18.75" x14ac:dyDescent="0.25">
      <c r="A3" s="37">
        <v>45870</v>
      </c>
      <c r="B3" s="38">
        <v>500</v>
      </c>
      <c r="C3" s="38">
        <v>500</v>
      </c>
      <c r="D3" s="38">
        <v>500</v>
      </c>
      <c r="E3" s="38">
        <v>500</v>
      </c>
      <c r="F3" s="39">
        <v>500</v>
      </c>
      <c r="G3" s="38">
        <v>500</v>
      </c>
      <c r="H3" s="38">
        <v>500</v>
      </c>
      <c r="I3" s="46">
        <v>500</v>
      </c>
      <c r="J3" s="38">
        <v>500</v>
      </c>
      <c r="K3" s="38">
        <v>500</v>
      </c>
      <c r="L3" s="43">
        <v>500</v>
      </c>
      <c r="M3" s="43">
        <v>500</v>
      </c>
      <c r="N3" s="41">
        <v>500</v>
      </c>
      <c r="O3" s="39">
        <v>500</v>
      </c>
      <c r="P3" s="38">
        <v>500</v>
      </c>
      <c r="Q3" s="39">
        <v>500</v>
      </c>
      <c r="R3" s="39">
        <v>500</v>
      </c>
      <c r="S3" s="38">
        <v>500</v>
      </c>
      <c r="T3" s="42">
        <v>500</v>
      </c>
      <c r="U3" s="42">
        <v>500</v>
      </c>
      <c r="V3" s="38">
        <v>500</v>
      </c>
      <c r="W3" s="33"/>
      <c r="X3" s="38">
        <v>500</v>
      </c>
      <c r="Y3" s="38">
        <v>500</v>
      </c>
      <c r="Z3" s="38">
        <v>500</v>
      </c>
      <c r="AA3" s="38">
        <v>500</v>
      </c>
      <c r="AB3" s="38">
        <v>500</v>
      </c>
      <c r="AC3" s="49">
        <v>500</v>
      </c>
      <c r="AD3" s="38">
        <v>500</v>
      </c>
      <c r="AE3" s="38">
        <v>500</v>
      </c>
      <c r="AF3" s="38">
        <v>500</v>
      </c>
      <c r="AG3" s="39">
        <v>500</v>
      </c>
      <c r="AH3" s="46">
        <v>500</v>
      </c>
      <c r="AI3" s="40">
        <v>500</v>
      </c>
      <c r="AJ3" s="38">
        <v>500</v>
      </c>
      <c r="AK3" s="42">
        <v>500</v>
      </c>
      <c r="AL3" s="38">
        <v>500</v>
      </c>
      <c r="AM3" s="41">
        <v>500</v>
      </c>
      <c r="AN3" s="48">
        <v>500</v>
      </c>
      <c r="AO3" s="38">
        <v>500</v>
      </c>
      <c r="AP3" s="33"/>
      <c r="AQ3" s="38">
        <v>500</v>
      </c>
      <c r="AR3" s="43">
        <v>500</v>
      </c>
      <c r="AS3" s="38">
        <v>500</v>
      </c>
      <c r="AT3" s="38">
        <v>500</v>
      </c>
      <c r="AU3" s="38">
        <v>500</v>
      </c>
      <c r="AV3" s="43">
        <v>500</v>
      </c>
    </row>
    <row r="4" spans="1:48" ht="18.75" x14ac:dyDescent="0.25">
      <c r="A4" s="37">
        <v>45901</v>
      </c>
      <c r="B4" s="38">
        <v>500</v>
      </c>
      <c r="C4" s="38">
        <v>500</v>
      </c>
      <c r="D4" s="38">
        <v>500</v>
      </c>
      <c r="E4" s="38">
        <v>500</v>
      </c>
      <c r="F4" s="39">
        <v>500</v>
      </c>
      <c r="G4" s="38">
        <v>500</v>
      </c>
      <c r="H4" s="38">
        <v>500</v>
      </c>
      <c r="I4" s="46">
        <v>500</v>
      </c>
      <c r="J4" s="38">
        <v>500</v>
      </c>
      <c r="K4" s="38">
        <v>500</v>
      </c>
      <c r="L4" s="43">
        <v>500</v>
      </c>
      <c r="M4" s="43">
        <v>500</v>
      </c>
      <c r="N4" s="41">
        <v>500</v>
      </c>
      <c r="O4" s="39">
        <v>500</v>
      </c>
      <c r="P4" s="38">
        <v>500</v>
      </c>
      <c r="Q4" s="39">
        <v>500</v>
      </c>
      <c r="R4" s="39">
        <v>500</v>
      </c>
      <c r="S4" s="38">
        <v>500</v>
      </c>
      <c r="T4" s="42">
        <v>500</v>
      </c>
      <c r="U4" s="42">
        <v>500</v>
      </c>
      <c r="V4" s="38">
        <v>500</v>
      </c>
      <c r="W4" s="33"/>
      <c r="X4" s="38">
        <v>500</v>
      </c>
      <c r="Y4" s="38">
        <v>500</v>
      </c>
      <c r="Z4" s="38">
        <v>500</v>
      </c>
      <c r="AA4" s="38">
        <v>500</v>
      </c>
      <c r="AB4" s="38">
        <v>500</v>
      </c>
      <c r="AC4" s="49">
        <v>500</v>
      </c>
      <c r="AD4" s="38">
        <v>500</v>
      </c>
      <c r="AE4" s="38">
        <v>500</v>
      </c>
      <c r="AF4" s="38">
        <v>500</v>
      </c>
      <c r="AG4" s="39">
        <v>500</v>
      </c>
      <c r="AH4" s="46">
        <v>500</v>
      </c>
      <c r="AI4" s="40">
        <v>500</v>
      </c>
      <c r="AJ4" s="38">
        <v>500</v>
      </c>
      <c r="AK4" s="42">
        <v>500</v>
      </c>
      <c r="AL4" s="38">
        <v>500</v>
      </c>
      <c r="AM4" s="41">
        <v>500</v>
      </c>
      <c r="AN4" s="48">
        <v>500</v>
      </c>
      <c r="AO4" s="38">
        <v>500</v>
      </c>
      <c r="AP4" s="33"/>
      <c r="AQ4" s="38">
        <v>500</v>
      </c>
      <c r="AR4" s="43">
        <v>500</v>
      </c>
      <c r="AS4" s="38">
        <v>500</v>
      </c>
      <c r="AT4" s="38">
        <v>500</v>
      </c>
      <c r="AU4" s="38">
        <v>500</v>
      </c>
      <c r="AV4" s="43">
        <v>500</v>
      </c>
    </row>
    <row r="5" spans="1:48" ht="18.75" x14ac:dyDescent="0.25">
      <c r="A5" s="37">
        <v>45931</v>
      </c>
      <c r="B5" s="38">
        <v>500</v>
      </c>
      <c r="C5" s="38">
        <v>500</v>
      </c>
      <c r="D5" s="38">
        <v>500</v>
      </c>
      <c r="E5" s="38">
        <v>500</v>
      </c>
      <c r="F5" s="39">
        <v>500</v>
      </c>
      <c r="G5" s="38">
        <v>500</v>
      </c>
      <c r="H5" s="38">
        <v>500</v>
      </c>
      <c r="I5" s="46">
        <v>500</v>
      </c>
      <c r="J5" s="38">
        <v>500</v>
      </c>
      <c r="K5" s="38">
        <v>500</v>
      </c>
      <c r="L5" s="43">
        <v>500</v>
      </c>
      <c r="M5" s="43">
        <v>500</v>
      </c>
      <c r="N5" s="41">
        <v>500</v>
      </c>
      <c r="O5" s="39">
        <v>500</v>
      </c>
      <c r="P5" s="38">
        <v>500</v>
      </c>
      <c r="Q5" s="39">
        <v>500</v>
      </c>
      <c r="R5" s="39">
        <v>500</v>
      </c>
      <c r="S5" s="38">
        <v>500</v>
      </c>
      <c r="T5" s="42">
        <v>500</v>
      </c>
      <c r="U5" s="42">
        <v>500</v>
      </c>
      <c r="V5" s="38">
        <v>500</v>
      </c>
      <c r="W5" s="33"/>
      <c r="X5" s="38">
        <v>500</v>
      </c>
      <c r="Y5" s="38">
        <v>500</v>
      </c>
      <c r="Z5" s="38">
        <v>500</v>
      </c>
      <c r="AA5" s="38">
        <v>500</v>
      </c>
      <c r="AB5" s="38">
        <v>500</v>
      </c>
      <c r="AC5" s="49">
        <v>500</v>
      </c>
      <c r="AD5" s="38">
        <v>500</v>
      </c>
      <c r="AE5" s="38">
        <v>500</v>
      </c>
      <c r="AF5" s="38">
        <v>500</v>
      </c>
      <c r="AG5" s="39">
        <v>500</v>
      </c>
      <c r="AH5" s="47"/>
      <c r="AI5" s="40">
        <v>500</v>
      </c>
      <c r="AJ5" s="38">
        <v>500</v>
      </c>
      <c r="AK5" s="42">
        <v>500</v>
      </c>
      <c r="AL5" s="38">
        <v>500</v>
      </c>
      <c r="AM5" s="41">
        <v>500</v>
      </c>
      <c r="AN5" s="48">
        <v>500</v>
      </c>
      <c r="AO5" s="38">
        <v>500</v>
      </c>
      <c r="AP5" s="33"/>
      <c r="AQ5" s="38">
        <v>500</v>
      </c>
      <c r="AR5" s="43">
        <v>500</v>
      </c>
      <c r="AS5" s="38">
        <v>500</v>
      </c>
      <c r="AT5" s="38">
        <v>500</v>
      </c>
      <c r="AU5" s="38">
        <v>500</v>
      </c>
      <c r="AV5" s="43">
        <v>500</v>
      </c>
    </row>
    <row r="6" spans="1:48" ht="18.75" x14ac:dyDescent="0.25">
      <c r="A6" s="37">
        <v>45962</v>
      </c>
      <c r="B6" s="38">
        <v>500</v>
      </c>
      <c r="C6" s="38">
        <v>500</v>
      </c>
      <c r="D6" s="38">
        <v>500</v>
      </c>
      <c r="E6" s="38">
        <v>500</v>
      </c>
      <c r="F6" s="39">
        <v>500</v>
      </c>
      <c r="G6" s="38">
        <v>500</v>
      </c>
      <c r="H6" s="38">
        <v>500</v>
      </c>
      <c r="I6" s="46">
        <v>500</v>
      </c>
      <c r="J6" s="38">
        <v>500</v>
      </c>
      <c r="K6" s="38">
        <v>500</v>
      </c>
      <c r="L6" s="43">
        <v>500</v>
      </c>
      <c r="M6" s="43">
        <v>500</v>
      </c>
      <c r="N6" s="41">
        <v>500</v>
      </c>
      <c r="O6" s="39">
        <v>500</v>
      </c>
      <c r="P6" s="38">
        <v>500</v>
      </c>
      <c r="Q6" s="39">
        <v>500</v>
      </c>
      <c r="R6" s="39">
        <v>500</v>
      </c>
      <c r="S6" s="38">
        <v>500</v>
      </c>
      <c r="T6" s="42">
        <v>500</v>
      </c>
      <c r="U6" s="42">
        <v>500</v>
      </c>
      <c r="V6" s="38">
        <v>500</v>
      </c>
      <c r="W6" s="33"/>
      <c r="X6" s="38">
        <v>500</v>
      </c>
      <c r="Y6" s="38">
        <v>500</v>
      </c>
      <c r="Z6" s="38">
        <v>500</v>
      </c>
      <c r="AA6" s="38">
        <v>500</v>
      </c>
      <c r="AB6" s="38">
        <v>500</v>
      </c>
      <c r="AC6" s="34"/>
      <c r="AD6" s="38">
        <v>500</v>
      </c>
      <c r="AE6" s="38">
        <v>500</v>
      </c>
      <c r="AF6" s="38">
        <v>500</v>
      </c>
      <c r="AG6" s="39">
        <v>500</v>
      </c>
      <c r="AH6" s="47"/>
      <c r="AI6" s="40">
        <v>500</v>
      </c>
      <c r="AJ6" s="38">
        <v>500</v>
      </c>
      <c r="AK6" s="42">
        <v>500</v>
      </c>
      <c r="AL6" s="38">
        <v>500</v>
      </c>
      <c r="AM6" s="41">
        <v>500</v>
      </c>
      <c r="AN6" s="33"/>
      <c r="AO6" s="38">
        <v>500</v>
      </c>
      <c r="AP6" s="33"/>
      <c r="AQ6" s="38">
        <v>500</v>
      </c>
      <c r="AR6" s="43">
        <v>500</v>
      </c>
      <c r="AS6" s="38">
        <v>500</v>
      </c>
      <c r="AT6" s="38">
        <v>500</v>
      </c>
      <c r="AU6" s="38">
        <v>500</v>
      </c>
      <c r="AV6" s="43">
        <v>500</v>
      </c>
    </row>
    <row r="7" spans="1:48" ht="18.75" x14ac:dyDescent="0.25">
      <c r="A7" s="37">
        <v>45992</v>
      </c>
      <c r="B7" s="38">
        <v>500</v>
      </c>
      <c r="C7" s="38">
        <v>500</v>
      </c>
      <c r="D7" s="38">
        <v>500</v>
      </c>
      <c r="E7" s="38">
        <v>500</v>
      </c>
      <c r="F7" s="39">
        <v>500</v>
      </c>
      <c r="G7" s="38">
        <v>500</v>
      </c>
      <c r="H7" s="38">
        <v>500</v>
      </c>
      <c r="I7" s="32"/>
      <c r="J7" s="38">
        <v>500</v>
      </c>
      <c r="K7" s="38">
        <v>500</v>
      </c>
      <c r="L7" s="43">
        <v>500</v>
      </c>
      <c r="M7" s="43">
        <v>500</v>
      </c>
      <c r="N7" s="41">
        <v>500</v>
      </c>
      <c r="O7" s="39">
        <v>500</v>
      </c>
      <c r="P7" s="38">
        <v>500</v>
      </c>
      <c r="Q7" s="39">
        <v>500</v>
      </c>
      <c r="R7" s="39">
        <v>500</v>
      </c>
      <c r="S7" s="38">
        <v>500</v>
      </c>
      <c r="T7" s="42">
        <v>500</v>
      </c>
      <c r="U7" s="42">
        <v>500</v>
      </c>
      <c r="V7" s="38">
        <v>500</v>
      </c>
      <c r="W7" s="33"/>
      <c r="X7" s="38">
        <v>500</v>
      </c>
      <c r="Y7" s="38">
        <v>500</v>
      </c>
      <c r="Z7" s="38">
        <v>500</v>
      </c>
      <c r="AA7" s="38">
        <v>500</v>
      </c>
      <c r="AB7" s="38">
        <v>500</v>
      </c>
      <c r="AC7" s="34"/>
      <c r="AD7" s="38">
        <v>500</v>
      </c>
      <c r="AE7" s="38">
        <v>500</v>
      </c>
      <c r="AF7" s="38">
        <v>500</v>
      </c>
      <c r="AG7" s="39">
        <v>500</v>
      </c>
      <c r="AH7" s="47"/>
      <c r="AI7" s="40">
        <v>500</v>
      </c>
      <c r="AJ7" s="38">
        <v>500</v>
      </c>
      <c r="AK7" s="42">
        <v>500</v>
      </c>
      <c r="AL7" s="38">
        <v>500</v>
      </c>
      <c r="AM7" s="41">
        <v>500</v>
      </c>
      <c r="AN7" s="33"/>
      <c r="AO7" s="38">
        <v>500</v>
      </c>
      <c r="AP7" s="33"/>
      <c r="AQ7" s="38">
        <v>500</v>
      </c>
      <c r="AR7" s="43">
        <v>500</v>
      </c>
      <c r="AS7" s="38">
        <v>500</v>
      </c>
      <c r="AT7" s="38">
        <v>500</v>
      </c>
      <c r="AU7" s="38">
        <v>500</v>
      </c>
      <c r="AV7" s="43">
        <v>500</v>
      </c>
    </row>
    <row r="8" spans="1:48" ht="18.75" x14ac:dyDescent="0.25">
      <c r="A8" s="37">
        <v>46023</v>
      </c>
      <c r="B8" s="38">
        <v>500</v>
      </c>
      <c r="C8" s="38">
        <v>500</v>
      </c>
      <c r="D8" s="38">
        <v>500</v>
      </c>
      <c r="E8" s="38">
        <v>500</v>
      </c>
      <c r="F8" s="39">
        <v>500</v>
      </c>
      <c r="G8" s="38">
        <v>500</v>
      </c>
      <c r="H8" s="38">
        <v>500</v>
      </c>
      <c r="I8" s="33"/>
      <c r="J8" s="38">
        <v>500</v>
      </c>
      <c r="K8" s="38">
        <v>500</v>
      </c>
      <c r="L8" s="43">
        <v>500</v>
      </c>
      <c r="M8" s="43">
        <v>500</v>
      </c>
      <c r="N8" s="41">
        <v>500</v>
      </c>
      <c r="O8" s="39">
        <v>500</v>
      </c>
      <c r="P8" s="38">
        <v>500</v>
      </c>
      <c r="Q8" s="39">
        <v>500</v>
      </c>
      <c r="R8" s="39">
        <v>500</v>
      </c>
      <c r="S8" s="38">
        <v>500</v>
      </c>
      <c r="T8" s="42">
        <v>500</v>
      </c>
      <c r="U8" s="42">
        <v>500</v>
      </c>
      <c r="V8" s="38">
        <v>500</v>
      </c>
      <c r="W8" s="33"/>
      <c r="X8" s="38">
        <v>500</v>
      </c>
      <c r="Y8" s="38">
        <v>500</v>
      </c>
      <c r="Z8" s="38">
        <v>500</v>
      </c>
      <c r="AA8" s="38">
        <v>500</v>
      </c>
      <c r="AB8" s="38">
        <v>500</v>
      </c>
      <c r="AC8" s="34"/>
      <c r="AD8" s="38">
        <v>500</v>
      </c>
      <c r="AE8" s="38">
        <v>500</v>
      </c>
      <c r="AF8" s="38">
        <v>500</v>
      </c>
      <c r="AG8" s="39">
        <v>500</v>
      </c>
      <c r="AH8" s="47"/>
      <c r="AI8" s="40">
        <v>500</v>
      </c>
      <c r="AJ8" s="38">
        <v>500</v>
      </c>
      <c r="AK8" s="42">
        <v>500</v>
      </c>
      <c r="AL8" s="38">
        <v>500</v>
      </c>
      <c r="AM8" s="41">
        <v>500</v>
      </c>
      <c r="AN8" s="33"/>
      <c r="AO8" s="38">
        <v>500</v>
      </c>
      <c r="AP8" s="33"/>
      <c r="AQ8" s="38">
        <v>500</v>
      </c>
      <c r="AR8" s="43">
        <v>500</v>
      </c>
      <c r="AS8" s="38">
        <v>500</v>
      </c>
      <c r="AT8" s="38">
        <v>500</v>
      </c>
      <c r="AU8" s="38">
        <v>500</v>
      </c>
      <c r="AV8" s="44"/>
    </row>
    <row r="9" spans="1:48" ht="18.75" x14ac:dyDescent="0.25">
      <c r="A9" s="37">
        <v>46054</v>
      </c>
      <c r="B9" s="38">
        <v>500</v>
      </c>
      <c r="C9" s="38">
        <v>500</v>
      </c>
      <c r="D9" s="38">
        <v>500</v>
      </c>
      <c r="E9" s="38">
        <v>500</v>
      </c>
      <c r="F9" s="39">
        <v>500</v>
      </c>
      <c r="G9" s="38">
        <v>500</v>
      </c>
      <c r="H9" s="38">
        <v>500</v>
      </c>
      <c r="I9" s="33"/>
      <c r="J9" s="38">
        <v>500</v>
      </c>
      <c r="K9" s="38">
        <v>500</v>
      </c>
      <c r="L9" s="33"/>
      <c r="M9" s="33"/>
      <c r="N9" s="41">
        <v>500</v>
      </c>
      <c r="O9" s="39">
        <v>500</v>
      </c>
      <c r="P9" s="38">
        <v>500</v>
      </c>
      <c r="Q9" s="39">
        <v>500</v>
      </c>
      <c r="R9" s="39">
        <v>500</v>
      </c>
      <c r="S9" s="38">
        <v>500</v>
      </c>
      <c r="T9" s="42">
        <v>500</v>
      </c>
      <c r="U9" s="42">
        <v>500</v>
      </c>
      <c r="V9" s="38">
        <v>500</v>
      </c>
      <c r="W9" s="33"/>
      <c r="X9" s="38">
        <v>500</v>
      </c>
      <c r="Y9" s="38">
        <v>500</v>
      </c>
      <c r="Z9" s="38">
        <v>500</v>
      </c>
      <c r="AA9" s="38">
        <v>500</v>
      </c>
      <c r="AB9" s="38">
        <v>500</v>
      </c>
      <c r="AC9" s="34"/>
      <c r="AD9" s="38">
        <v>500</v>
      </c>
      <c r="AE9" s="38">
        <v>500</v>
      </c>
      <c r="AF9" s="38">
        <v>500</v>
      </c>
      <c r="AG9" s="39">
        <v>500</v>
      </c>
      <c r="AH9" s="47"/>
      <c r="AI9" s="40">
        <v>500</v>
      </c>
      <c r="AJ9" s="38">
        <v>500</v>
      </c>
      <c r="AK9" s="42">
        <v>500</v>
      </c>
      <c r="AL9" s="38">
        <v>500</v>
      </c>
      <c r="AM9" s="41">
        <v>500</v>
      </c>
      <c r="AN9" s="33"/>
      <c r="AO9" s="38">
        <v>500</v>
      </c>
      <c r="AP9" s="33"/>
      <c r="AQ9" s="38">
        <v>500</v>
      </c>
      <c r="AR9" s="33"/>
      <c r="AS9" s="38">
        <v>500</v>
      </c>
      <c r="AT9" s="38">
        <v>500</v>
      </c>
      <c r="AU9" s="38">
        <v>500</v>
      </c>
      <c r="AV9" s="45">
        <v>500</v>
      </c>
    </row>
    <row r="10" spans="1:48" ht="18.75" x14ac:dyDescent="0.25">
      <c r="A10" s="37">
        <v>46082</v>
      </c>
      <c r="B10" s="38">
        <v>500</v>
      </c>
      <c r="C10" s="38">
        <v>500</v>
      </c>
      <c r="D10" s="38">
        <v>500</v>
      </c>
      <c r="E10" s="38">
        <v>500</v>
      </c>
      <c r="F10" s="39">
        <v>500</v>
      </c>
      <c r="G10" s="38">
        <v>500</v>
      </c>
      <c r="H10" s="38">
        <v>500</v>
      </c>
      <c r="I10" s="33"/>
      <c r="J10" s="38">
        <v>500</v>
      </c>
      <c r="K10" s="38">
        <v>500</v>
      </c>
      <c r="L10" s="33"/>
      <c r="M10" s="33"/>
      <c r="N10" s="41">
        <v>500</v>
      </c>
      <c r="O10" s="39">
        <v>500</v>
      </c>
      <c r="P10" s="38">
        <v>500</v>
      </c>
      <c r="Q10" s="39">
        <v>500</v>
      </c>
      <c r="R10" s="39">
        <v>500</v>
      </c>
      <c r="S10" s="38">
        <v>500</v>
      </c>
      <c r="T10" s="42">
        <v>500</v>
      </c>
      <c r="U10" s="42">
        <v>500</v>
      </c>
      <c r="V10" s="38">
        <v>500</v>
      </c>
      <c r="W10" s="33"/>
      <c r="X10" s="38">
        <v>500</v>
      </c>
      <c r="Y10" s="38">
        <v>500</v>
      </c>
      <c r="Z10" s="38">
        <v>500</v>
      </c>
      <c r="AA10" s="38">
        <v>500</v>
      </c>
      <c r="AB10" s="38">
        <v>500</v>
      </c>
      <c r="AC10" s="34"/>
      <c r="AD10" s="38">
        <v>500</v>
      </c>
      <c r="AE10" s="38">
        <v>500</v>
      </c>
      <c r="AF10" s="38">
        <v>500</v>
      </c>
      <c r="AG10" s="39">
        <v>500</v>
      </c>
      <c r="AH10" s="47"/>
      <c r="AI10" s="40">
        <v>500</v>
      </c>
      <c r="AJ10" s="38">
        <v>500</v>
      </c>
      <c r="AK10" s="42">
        <v>500</v>
      </c>
      <c r="AL10" s="38">
        <v>500</v>
      </c>
      <c r="AM10" s="41">
        <v>500</v>
      </c>
      <c r="AN10" s="33"/>
      <c r="AO10" s="38">
        <v>500</v>
      </c>
      <c r="AP10" s="33"/>
      <c r="AQ10" s="38">
        <v>500</v>
      </c>
      <c r="AR10" s="33"/>
      <c r="AS10" s="38">
        <v>500</v>
      </c>
      <c r="AT10" s="38">
        <v>500</v>
      </c>
      <c r="AU10" s="38">
        <v>500</v>
      </c>
      <c r="AV10" s="33"/>
    </row>
    <row r="11" spans="1:48" ht="18.75" x14ac:dyDescent="0.25">
      <c r="A11" s="37">
        <v>46113</v>
      </c>
      <c r="B11" s="38">
        <v>500</v>
      </c>
      <c r="C11" s="38">
        <v>500</v>
      </c>
      <c r="D11" s="38">
        <v>500</v>
      </c>
      <c r="E11" s="38">
        <v>500</v>
      </c>
      <c r="F11" s="39">
        <v>500</v>
      </c>
      <c r="G11" s="38">
        <v>500</v>
      </c>
      <c r="H11" s="38">
        <v>500</v>
      </c>
      <c r="I11" s="33"/>
      <c r="J11" s="38">
        <v>500</v>
      </c>
      <c r="K11" s="38">
        <v>500</v>
      </c>
      <c r="L11" s="33"/>
      <c r="M11" s="33"/>
      <c r="N11" s="41">
        <v>500</v>
      </c>
      <c r="O11" s="39">
        <v>500</v>
      </c>
      <c r="P11" s="38">
        <v>500</v>
      </c>
      <c r="Q11" s="39">
        <v>500</v>
      </c>
      <c r="R11" s="39">
        <v>500</v>
      </c>
      <c r="S11" s="38">
        <v>500</v>
      </c>
      <c r="T11" s="33"/>
      <c r="U11" s="33"/>
      <c r="V11" s="38">
        <v>500</v>
      </c>
      <c r="W11" s="33"/>
      <c r="X11" s="38">
        <v>500</v>
      </c>
      <c r="Y11" s="38">
        <v>500</v>
      </c>
      <c r="Z11" s="38">
        <v>500</v>
      </c>
      <c r="AA11" s="38">
        <v>500</v>
      </c>
      <c r="AB11" s="38">
        <v>500</v>
      </c>
      <c r="AC11" s="34"/>
      <c r="AD11" s="38">
        <v>500</v>
      </c>
      <c r="AE11" s="38">
        <v>500</v>
      </c>
      <c r="AF11" s="38">
        <v>500</v>
      </c>
      <c r="AG11" s="39">
        <v>500</v>
      </c>
      <c r="AH11" s="47"/>
      <c r="AI11" s="40">
        <v>500</v>
      </c>
      <c r="AJ11" s="38">
        <v>500</v>
      </c>
      <c r="AK11" s="33"/>
      <c r="AL11" s="38">
        <v>500</v>
      </c>
      <c r="AM11" s="41">
        <v>500</v>
      </c>
      <c r="AN11" s="33"/>
      <c r="AO11" s="38">
        <v>500</v>
      </c>
      <c r="AP11" s="33"/>
      <c r="AQ11" s="38">
        <v>500</v>
      </c>
      <c r="AR11" s="33"/>
      <c r="AS11" s="38">
        <v>500</v>
      </c>
      <c r="AT11" s="38">
        <v>500</v>
      </c>
      <c r="AU11" s="38">
        <v>500</v>
      </c>
      <c r="AV11" s="33"/>
    </row>
    <row r="12" spans="1:48" ht="18.75" x14ac:dyDescent="0.25">
      <c r="A12" s="37">
        <v>46143</v>
      </c>
      <c r="B12" s="38">
        <v>500</v>
      </c>
      <c r="C12" s="38">
        <v>500</v>
      </c>
      <c r="D12" s="38">
        <v>500</v>
      </c>
      <c r="E12" s="38">
        <v>500</v>
      </c>
      <c r="F12" s="39">
        <v>500</v>
      </c>
      <c r="G12" s="38">
        <v>500</v>
      </c>
      <c r="H12" s="38">
        <v>500</v>
      </c>
      <c r="I12" s="33"/>
      <c r="J12" s="38">
        <v>500</v>
      </c>
      <c r="K12" s="38">
        <v>500</v>
      </c>
      <c r="L12" s="33"/>
      <c r="M12" s="33"/>
      <c r="N12" s="33"/>
      <c r="O12" s="39">
        <v>500</v>
      </c>
      <c r="P12" s="38">
        <v>500</v>
      </c>
      <c r="Q12" s="39">
        <v>500</v>
      </c>
      <c r="R12" s="39">
        <v>500</v>
      </c>
      <c r="S12" s="38">
        <v>500</v>
      </c>
      <c r="T12" s="33"/>
      <c r="U12" s="33"/>
      <c r="V12" s="38">
        <v>500</v>
      </c>
      <c r="W12" s="33"/>
      <c r="X12" s="38">
        <v>500</v>
      </c>
      <c r="Y12" s="38">
        <v>500</v>
      </c>
      <c r="Z12" s="38">
        <v>500</v>
      </c>
      <c r="AA12" s="38">
        <v>500</v>
      </c>
      <c r="AB12" s="38">
        <v>500</v>
      </c>
      <c r="AC12" s="34"/>
      <c r="AD12" s="38">
        <v>500</v>
      </c>
      <c r="AE12" s="38">
        <v>500</v>
      </c>
      <c r="AF12" s="38">
        <v>500</v>
      </c>
      <c r="AG12" s="39">
        <v>500</v>
      </c>
      <c r="AH12" s="46">
        <v>500</v>
      </c>
      <c r="AI12" s="40">
        <v>500</v>
      </c>
      <c r="AJ12" s="38">
        <v>500</v>
      </c>
      <c r="AK12" s="33"/>
      <c r="AL12" s="38">
        <v>500</v>
      </c>
      <c r="AM12" s="32"/>
      <c r="AN12" s="33"/>
      <c r="AO12" s="38">
        <v>500</v>
      </c>
      <c r="AP12" s="33"/>
      <c r="AQ12" s="38">
        <v>500</v>
      </c>
      <c r="AR12" s="33"/>
      <c r="AS12" s="38">
        <v>500</v>
      </c>
      <c r="AT12" s="38">
        <v>500</v>
      </c>
      <c r="AU12" s="38">
        <v>500</v>
      </c>
      <c r="AV12" s="33"/>
    </row>
    <row r="13" spans="1:48" ht="18.75" x14ac:dyDescent="0.25">
      <c r="A13" s="37">
        <v>46174</v>
      </c>
      <c r="B13" s="38">
        <v>500</v>
      </c>
      <c r="C13" s="38">
        <v>500</v>
      </c>
      <c r="D13" s="38">
        <v>500</v>
      </c>
      <c r="E13" s="38">
        <v>500</v>
      </c>
      <c r="F13" s="39">
        <v>500</v>
      </c>
      <c r="G13" s="38">
        <v>500</v>
      </c>
      <c r="H13" s="38">
        <v>500</v>
      </c>
      <c r="I13" s="33"/>
      <c r="J13" s="38">
        <v>500</v>
      </c>
      <c r="K13" s="38">
        <v>500</v>
      </c>
      <c r="L13" s="33"/>
      <c r="M13" s="33"/>
      <c r="N13" s="33"/>
      <c r="O13" s="39">
        <v>500</v>
      </c>
      <c r="P13" s="38">
        <v>500</v>
      </c>
      <c r="Q13" s="39">
        <v>500</v>
      </c>
      <c r="R13" s="39">
        <v>500</v>
      </c>
      <c r="S13" s="38">
        <v>500</v>
      </c>
      <c r="T13" s="33"/>
      <c r="U13" s="33"/>
      <c r="V13" s="38">
        <v>500</v>
      </c>
      <c r="W13" s="33"/>
      <c r="X13" s="38">
        <v>500</v>
      </c>
      <c r="Y13" s="38">
        <v>500</v>
      </c>
      <c r="Z13" s="38">
        <v>500</v>
      </c>
      <c r="AA13" s="38">
        <v>500</v>
      </c>
      <c r="AB13" s="38">
        <v>500</v>
      </c>
      <c r="AC13" s="34"/>
      <c r="AD13" s="38">
        <v>500</v>
      </c>
      <c r="AE13" s="38">
        <v>500</v>
      </c>
      <c r="AF13" s="38">
        <v>500</v>
      </c>
      <c r="AG13" s="39">
        <v>500</v>
      </c>
      <c r="AH13" s="46">
        <v>500</v>
      </c>
      <c r="AI13" s="33"/>
      <c r="AJ13" s="38">
        <v>500</v>
      </c>
      <c r="AK13" s="33"/>
      <c r="AL13" s="38">
        <v>500</v>
      </c>
      <c r="AM13" s="33"/>
      <c r="AN13" s="33"/>
      <c r="AO13" s="38">
        <v>500</v>
      </c>
      <c r="AP13" s="33"/>
      <c r="AQ13" s="38">
        <v>500</v>
      </c>
      <c r="AR13" s="33"/>
      <c r="AS13" s="38">
        <v>500</v>
      </c>
      <c r="AT13" s="38">
        <v>500</v>
      </c>
      <c r="AU13" s="38">
        <v>500</v>
      </c>
      <c r="AV13" s="33"/>
    </row>
    <row r="14" spans="1:48" ht="18.75" x14ac:dyDescent="0.25">
      <c r="A14" s="37">
        <v>46204</v>
      </c>
      <c r="B14" s="38">
        <v>500</v>
      </c>
      <c r="C14" s="38">
        <v>500</v>
      </c>
      <c r="D14" s="38">
        <v>500</v>
      </c>
      <c r="E14" s="38">
        <v>500</v>
      </c>
      <c r="F14" s="33"/>
      <c r="G14" s="38">
        <v>500</v>
      </c>
      <c r="H14" s="38">
        <v>500</v>
      </c>
      <c r="I14" s="33"/>
      <c r="J14" s="38">
        <v>500</v>
      </c>
      <c r="K14" s="38">
        <v>500</v>
      </c>
      <c r="L14" s="33"/>
      <c r="M14" s="33"/>
      <c r="N14" s="33"/>
      <c r="O14" s="33"/>
      <c r="P14" s="38">
        <v>500</v>
      </c>
      <c r="Q14" s="33"/>
      <c r="R14" s="33"/>
      <c r="S14" s="38">
        <v>500</v>
      </c>
      <c r="T14" s="33"/>
      <c r="U14" s="33"/>
      <c r="V14" s="38">
        <v>500</v>
      </c>
      <c r="W14" s="33"/>
      <c r="X14" s="38">
        <v>500</v>
      </c>
      <c r="Y14" s="38">
        <v>500</v>
      </c>
      <c r="Z14" s="38">
        <v>500</v>
      </c>
      <c r="AA14" s="38">
        <v>500</v>
      </c>
      <c r="AB14" s="38">
        <v>500</v>
      </c>
      <c r="AC14" s="34"/>
      <c r="AD14" s="38">
        <v>500</v>
      </c>
      <c r="AE14" s="38">
        <v>500</v>
      </c>
      <c r="AF14" s="38">
        <v>500</v>
      </c>
      <c r="AG14" s="32"/>
      <c r="AH14" s="33"/>
      <c r="AI14" s="33"/>
      <c r="AJ14" s="38">
        <v>500</v>
      </c>
      <c r="AK14" s="33"/>
      <c r="AL14" s="38">
        <v>500</v>
      </c>
      <c r="AM14" s="33"/>
      <c r="AN14" s="33"/>
      <c r="AO14" s="38">
        <v>500</v>
      </c>
      <c r="AP14" s="33"/>
      <c r="AQ14" s="38">
        <v>500</v>
      </c>
      <c r="AR14" s="33"/>
      <c r="AS14" s="38">
        <v>500</v>
      </c>
      <c r="AT14" s="38">
        <v>500</v>
      </c>
      <c r="AU14" s="38">
        <v>500</v>
      </c>
      <c r="AV14" s="33"/>
    </row>
    <row r="15" spans="1:48" ht="15.75" x14ac:dyDescent="0.25">
      <c r="A15" s="35" t="s">
        <v>49</v>
      </c>
      <c r="B15" s="36">
        <f t="shared" ref="B15:AV15" si="0">SUM(B3:B14)</f>
        <v>6000</v>
      </c>
      <c r="C15" s="36">
        <f t="shared" si="0"/>
        <v>6000</v>
      </c>
      <c r="D15" s="36">
        <f t="shared" si="0"/>
        <v>6000</v>
      </c>
      <c r="E15" s="36">
        <f t="shared" si="0"/>
        <v>6000</v>
      </c>
      <c r="F15" s="36">
        <f t="shared" si="0"/>
        <v>5500</v>
      </c>
      <c r="G15" s="36">
        <f t="shared" si="0"/>
        <v>6000</v>
      </c>
      <c r="H15" s="36">
        <f t="shared" si="0"/>
        <v>6000</v>
      </c>
      <c r="I15" s="36">
        <f t="shared" si="0"/>
        <v>2000</v>
      </c>
      <c r="J15" s="36">
        <f t="shared" si="0"/>
        <v>6000</v>
      </c>
      <c r="K15" s="36">
        <f t="shared" si="0"/>
        <v>6000</v>
      </c>
      <c r="L15" s="36">
        <f t="shared" si="0"/>
        <v>3000</v>
      </c>
      <c r="M15" s="36">
        <f t="shared" si="0"/>
        <v>3000</v>
      </c>
      <c r="N15" s="36">
        <f t="shared" si="0"/>
        <v>4500</v>
      </c>
      <c r="O15" s="36">
        <f t="shared" si="0"/>
        <v>5500</v>
      </c>
      <c r="P15" s="36">
        <f t="shared" si="0"/>
        <v>6000</v>
      </c>
      <c r="Q15" s="36">
        <f t="shared" si="0"/>
        <v>5500</v>
      </c>
      <c r="R15" s="36">
        <f t="shared" si="0"/>
        <v>5500</v>
      </c>
      <c r="S15" s="36">
        <f t="shared" si="0"/>
        <v>6000</v>
      </c>
      <c r="T15" s="36">
        <f t="shared" si="0"/>
        <v>4000</v>
      </c>
      <c r="U15" s="36">
        <f t="shared" si="0"/>
        <v>4000</v>
      </c>
      <c r="V15" s="36">
        <f t="shared" si="0"/>
        <v>6000</v>
      </c>
      <c r="W15" s="36">
        <f t="shared" si="0"/>
        <v>0</v>
      </c>
      <c r="X15" s="36">
        <f t="shared" si="0"/>
        <v>6000</v>
      </c>
      <c r="Y15" s="36">
        <f t="shared" si="0"/>
        <v>6000</v>
      </c>
      <c r="Z15" s="36">
        <f t="shared" si="0"/>
        <v>6000</v>
      </c>
      <c r="AA15" s="36">
        <f t="shared" si="0"/>
        <v>6000</v>
      </c>
      <c r="AB15" s="36">
        <f t="shared" si="0"/>
        <v>6000</v>
      </c>
      <c r="AC15" s="36">
        <f t="shared" si="0"/>
        <v>1500</v>
      </c>
      <c r="AD15" s="36">
        <f t="shared" si="0"/>
        <v>6000</v>
      </c>
      <c r="AE15" s="36">
        <f t="shared" si="0"/>
        <v>6000</v>
      </c>
      <c r="AF15" s="36">
        <f t="shared" si="0"/>
        <v>6000</v>
      </c>
      <c r="AG15" s="36">
        <f t="shared" si="0"/>
        <v>5500</v>
      </c>
      <c r="AH15" s="36">
        <f t="shared" si="0"/>
        <v>2000</v>
      </c>
      <c r="AI15" s="36">
        <f t="shared" si="0"/>
        <v>5000</v>
      </c>
      <c r="AJ15" s="36">
        <f t="shared" si="0"/>
        <v>6000</v>
      </c>
      <c r="AK15" s="36">
        <f t="shared" si="0"/>
        <v>4000</v>
      </c>
      <c r="AL15" s="36">
        <f t="shared" si="0"/>
        <v>6000</v>
      </c>
      <c r="AM15" s="36">
        <f t="shared" si="0"/>
        <v>4500</v>
      </c>
      <c r="AN15" s="36">
        <f t="shared" si="0"/>
        <v>1500</v>
      </c>
      <c r="AO15" s="36">
        <f t="shared" si="0"/>
        <v>6000</v>
      </c>
      <c r="AP15" s="36">
        <f t="shared" si="0"/>
        <v>0</v>
      </c>
      <c r="AQ15" s="36">
        <f t="shared" si="0"/>
        <v>6000</v>
      </c>
      <c r="AR15" s="36">
        <f t="shared" si="0"/>
        <v>3000</v>
      </c>
      <c r="AS15" s="36">
        <f t="shared" si="0"/>
        <v>6000</v>
      </c>
      <c r="AT15" s="36">
        <f t="shared" si="0"/>
        <v>6000</v>
      </c>
      <c r="AU15" s="36">
        <f t="shared" si="0"/>
        <v>6000</v>
      </c>
      <c r="AV15" s="36">
        <f t="shared" si="0"/>
        <v>3000</v>
      </c>
    </row>
    <row r="16" spans="1:48" x14ac:dyDescent="0.25">
      <c r="A16" s="50">
        <v>6000</v>
      </c>
      <c r="B16" s="50">
        <v>6000</v>
      </c>
      <c r="C16" s="50">
        <v>6000</v>
      </c>
      <c r="D16" s="50">
        <v>6000</v>
      </c>
      <c r="E16" s="50">
        <v>6000</v>
      </c>
      <c r="F16" s="50">
        <v>6000</v>
      </c>
      <c r="G16" s="50">
        <v>6000</v>
      </c>
      <c r="H16" s="50">
        <v>6000</v>
      </c>
      <c r="I16" s="50">
        <v>6000</v>
      </c>
      <c r="J16" s="50">
        <v>6000</v>
      </c>
      <c r="K16" s="50">
        <v>6000</v>
      </c>
      <c r="L16" s="50">
        <v>6000</v>
      </c>
      <c r="M16" s="50">
        <v>6000</v>
      </c>
      <c r="N16" s="50">
        <v>6000</v>
      </c>
      <c r="O16" s="50">
        <v>6000</v>
      </c>
      <c r="P16" s="50">
        <v>6000</v>
      </c>
      <c r="Q16" s="50">
        <v>6000</v>
      </c>
      <c r="R16" s="50">
        <v>6000</v>
      </c>
      <c r="S16" s="50">
        <v>6000</v>
      </c>
      <c r="T16" s="50">
        <v>6000</v>
      </c>
      <c r="U16" s="50">
        <v>6000</v>
      </c>
      <c r="V16" s="50">
        <v>6000</v>
      </c>
      <c r="W16" s="50">
        <v>6000</v>
      </c>
      <c r="X16" s="50">
        <v>6000</v>
      </c>
      <c r="Y16" s="50">
        <v>6000</v>
      </c>
      <c r="Z16" s="50">
        <v>6000</v>
      </c>
      <c r="AA16" s="50">
        <v>6000</v>
      </c>
      <c r="AB16" s="50">
        <v>6000</v>
      </c>
      <c r="AC16" s="50">
        <v>6000</v>
      </c>
      <c r="AD16" s="50">
        <v>6000</v>
      </c>
      <c r="AE16" s="50">
        <v>6000</v>
      </c>
      <c r="AF16" s="50">
        <v>6000</v>
      </c>
      <c r="AG16" s="50">
        <v>6000</v>
      </c>
      <c r="AH16" s="50">
        <v>6000</v>
      </c>
      <c r="AI16" s="50">
        <v>6000</v>
      </c>
      <c r="AJ16" s="50">
        <v>6000</v>
      </c>
      <c r="AK16" s="50">
        <v>6000</v>
      </c>
      <c r="AL16" s="50">
        <v>6000</v>
      </c>
      <c r="AM16" s="50">
        <v>6000</v>
      </c>
      <c r="AN16" s="50">
        <v>6000</v>
      </c>
      <c r="AO16" s="50">
        <v>6000</v>
      </c>
      <c r="AP16" s="50">
        <v>6000</v>
      </c>
      <c r="AQ16" s="50">
        <v>6000</v>
      </c>
      <c r="AR16" s="50">
        <v>6000</v>
      </c>
      <c r="AS16" s="50">
        <v>6000</v>
      </c>
      <c r="AT16" s="50">
        <v>6000</v>
      </c>
      <c r="AU16" s="50">
        <v>6000</v>
      </c>
      <c r="AV16" s="50">
        <v>6000</v>
      </c>
    </row>
    <row r="17" spans="1:48" x14ac:dyDescent="0.25">
      <c r="A17" s="50" t="s">
        <v>64</v>
      </c>
      <c r="B17" s="32">
        <f>B15-B16</f>
        <v>0</v>
      </c>
      <c r="C17" s="32">
        <f t="shared" ref="C17:AV17" si="1">C15-C16</f>
        <v>0</v>
      </c>
      <c r="D17" s="32">
        <f t="shared" si="1"/>
        <v>0</v>
      </c>
      <c r="E17" s="32">
        <f t="shared" si="1"/>
        <v>0</v>
      </c>
      <c r="F17" s="32">
        <f t="shared" si="1"/>
        <v>-500</v>
      </c>
      <c r="G17" s="32">
        <f t="shared" si="1"/>
        <v>0</v>
      </c>
      <c r="H17" s="32">
        <f t="shared" si="1"/>
        <v>0</v>
      </c>
      <c r="I17" s="32">
        <f t="shared" si="1"/>
        <v>-4000</v>
      </c>
      <c r="J17" s="32">
        <f t="shared" si="1"/>
        <v>0</v>
      </c>
      <c r="K17" s="32">
        <f t="shared" si="1"/>
        <v>0</v>
      </c>
      <c r="L17" s="32">
        <f t="shared" si="1"/>
        <v>-3000</v>
      </c>
      <c r="M17" s="32">
        <f t="shared" si="1"/>
        <v>-3000</v>
      </c>
      <c r="N17" s="32">
        <f t="shared" si="1"/>
        <v>-1500</v>
      </c>
      <c r="O17" s="32">
        <f t="shared" si="1"/>
        <v>-500</v>
      </c>
      <c r="P17" s="32">
        <f t="shared" si="1"/>
        <v>0</v>
      </c>
      <c r="Q17" s="32">
        <f t="shared" si="1"/>
        <v>-500</v>
      </c>
      <c r="R17" s="32">
        <f t="shared" si="1"/>
        <v>-500</v>
      </c>
      <c r="S17" s="32">
        <f t="shared" si="1"/>
        <v>0</v>
      </c>
      <c r="T17" s="32">
        <f t="shared" si="1"/>
        <v>-2000</v>
      </c>
      <c r="U17" s="32">
        <f t="shared" si="1"/>
        <v>-2000</v>
      </c>
      <c r="V17" s="32">
        <f t="shared" si="1"/>
        <v>0</v>
      </c>
      <c r="W17" s="32">
        <f t="shared" si="1"/>
        <v>-6000</v>
      </c>
      <c r="X17" s="32">
        <f t="shared" si="1"/>
        <v>0</v>
      </c>
      <c r="Y17" s="32">
        <f t="shared" si="1"/>
        <v>0</v>
      </c>
      <c r="Z17" s="32">
        <f t="shared" si="1"/>
        <v>0</v>
      </c>
      <c r="AA17" s="32">
        <f t="shared" si="1"/>
        <v>0</v>
      </c>
      <c r="AB17" s="32">
        <f t="shared" si="1"/>
        <v>0</v>
      </c>
      <c r="AC17" s="32">
        <f t="shared" si="1"/>
        <v>-4500</v>
      </c>
      <c r="AD17" s="32">
        <f t="shared" si="1"/>
        <v>0</v>
      </c>
      <c r="AE17" s="32">
        <f t="shared" si="1"/>
        <v>0</v>
      </c>
      <c r="AF17" s="32">
        <f t="shared" si="1"/>
        <v>0</v>
      </c>
      <c r="AG17" s="32">
        <f t="shared" si="1"/>
        <v>-500</v>
      </c>
      <c r="AH17" s="32">
        <f t="shared" si="1"/>
        <v>-4000</v>
      </c>
      <c r="AI17" s="32">
        <f t="shared" si="1"/>
        <v>-1000</v>
      </c>
      <c r="AJ17" s="32">
        <f t="shared" si="1"/>
        <v>0</v>
      </c>
      <c r="AK17" s="32">
        <f t="shared" si="1"/>
        <v>-2000</v>
      </c>
      <c r="AL17" s="32">
        <f t="shared" si="1"/>
        <v>0</v>
      </c>
      <c r="AM17" s="32">
        <f t="shared" si="1"/>
        <v>-1500</v>
      </c>
      <c r="AN17" s="32">
        <f t="shared" si="1"/>
        <v>-4500</v>
      </c>
      <c r="AO17" s="32">
        <f t="shared" si="1"/>
        <v>0</v>
      </c>
      <c r="AP17" s="32">
        <f t="shared" si="1"/>
        <v>-6000</v>
      </c>
      <c r="AQ17" s="32">
        <f t="shared" si="1"/>
        <v>0</v>
      </c>
      <c r="AR17" s="32">
        <f t="shared" si="1"/>
        <v>-3000</v>
      </c>
      <c r="AS17" s="32">
        <f t="shared" si="1"/>
        <v>0</v>
      </c>
      <c r="AT17" s="32">
        <f t="shared" si="1"/>
        <v>0</v>
      </c>
      <c r="AU17" s="32">
        <f t="shared" si="1"/>
        <v>0</v>
      </c>
      <c r="AV17" s="32">
        <f t="shared" si="1"/>
        <v>-3000</v>
      </c>
    </row>
    <row r="18" spans="1:48" x14ac:dyDescent="0.25">
      <c r="A18" s="50" t="s">
        <v>63</v>
      </c>
      <c r="B18" s="52">
        <f>SUM(B15:AV15)</f>
        <v>228500</v>
      </c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4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</row>
    <row r="20" spans="1:48" ht="18.75" x14ac:dyDescent="0.3">
      <c r="A20" s="29"/>
      <c r="B20" s="53" t="s">
        <v>81</v>
      </c>
      <c r="C20" s="32"/>
      <c r="D20" s="61" t="s">
        <v>0</v>
      </c>
      <c r="E20" s="62"/>
      <c r="F20" s="62"/>
      <c r="G20" s="62"/>
      <c r="H20" s="62"/>
      <c r="I20" s="62"/>
      <c r="J20" s="62"/>
      <c r="K20" s="62"/>
      <c r="L20" s="63"/>
    </row>
    <row r="21" spans="1:48" x14ac:dyDescent="0.25">
      <c r="B21" s="33" t="s">
        <v>80</v>
      </c>
      <c r="C21" s="32">
        <v>26</v>
      </c>
      <c r="D21" s="58" t="s">
        <v>84</v>
      </c>
      <c r="E21" s="59"/>
      <c r="F21" s="59"/>
      <c r="G21" s="59"/>
      <c r="H21" s="59"/>
      <c r="I21" s="59"/>
      <c r="J21" s="59"/>
      <c r="K21" s="59"/>
      <c r="L21" s="60"/>
    </row>
    <row r="22" spans="1:48" x14ac:dyDescent="0.25">
      <c r="B22" s="33" t="s">
        <v>65</v>
      </c>
      <c r="C22" s="32">
        <v>5</v>
      </c>
      <c r="D22" s="73" t="s">
        <v>85</v>
      </c>
      <c r="E22" s="74"/>
      <c r="F22" s="74"/>
      <c r="G22" s="74"/>
      <c r="H22" s="74"/>
      <c r="I22" s="74"/>
      <c r="J22" s="74"/>
      <c r="K22" s="74"/>
      <c r="L22" s="75"/>
    </row>
    <row r="23" spans="1:48" x14ac:dyDescent="0.25">
      <c r="B23" s="33" t="s">
        <v>66</v>
      </c>
      <c r="C23" s="32">
        <v>1</v>
      </c>
      <c r="D23" s="76">
        <v>34</v>
      </c>
      <c r="E23" s="77"/>
      <c r="F23" s="77"/>
      <c r="G23" s="77"/>
      <c r="H23" s="77"/>
      <c r="I23" s="77"/>
      <c r="J23" s="77"/>
      <c r="K23" s="77"/>
      <c r="L23" s="78"/>
    </row>
    <row r="24" spans="1:48" x14ac:dyDescent="0.25">
      <c r="B24" s="33" t="s">
        <v>67</v>
      </c>
      <c r="C24" s="32">
        <v>2</v>
      </c>
      <c r="D24" s="79" t="s">
        <v>83</v>
      </c>
      <c r="E24" s="80"/>
      <c r="F24" s="80"/>
      <c r="G24" s="80"/>
      <c r="H24" s="80"/>
      <c r="I24" s="80"/>
      <c r="J24" s="80"/>
      <c r="K24" s="80"/>
      <c r="L24" s="81"/>
    </row>
    <row r="25" spans="1:48" x14ac:dyDescent="0.25">
      <c r="B25" s="33" t="s">
        <v>68</v>
      </c>
      <c r="C25" s="32">
        <v>3</v>
      </c>
      <c r="D25" s="82" t="s">
        <v>76</v>
      </c>
      <c r="E25" s="83"/>
      <c r="F25" s="83"/>
      <c r="G25" s="83"/>
      <c r="H25" s="83"/>
      <c r="I25" s="83"/>
      <c r="J25" s="83"/>
      <c r="K25" s="83"/>
      <c r="L25" s="84"/>
    </row>
    <row r="26" spans="1:48" x14ac:dyDescent="0.25">
      <c r="B26" s="33" t="s">
        <v>69</v>
      </c>
      <c r="C26" s="32">
        <v>0</v>
      </c>
      <c r="D26" s="54"/>
      <c r="E26" s="55"/>
      <c r="F26" s="55"/>
      <c r="G26" s="55"/>
      <c r="H26" s="55"/>
      <c r="I26" s="55"/>
      <c r="J26" s="55"/>
      <c r="K26" s="55"/>
      <c r="L26" s="56"/>
    </row>
    <row r="27" spans="1:48" x14ac:dyDescent="0.25">
      <c r="B27" s="33" t="s">
        <v>70</v>
      </c>
      <c r="C27" s="32">
        <v>4</v>
      </c>
      <c r="D27" s="64" t="s">
        <v>77</v>
      </c>
      <c r="E27" s="65"/>
      <c r="F27" s="65"/>
      <c r="G27" s="65"/>
      <c r="H27" s="65"/>
      <c r="I27" s="65"/>
      <c r="J27" s="65"/>
      <c r="K27" s="65"/>
      <c r="L27" s="66"/>
    </row>
    <row r="28" spans="1:48" x14ac:dyDescent="0.25">
      <c r="B28" s="33" t="s">
        <v>71</v>
      </c>
      <c r="C28" s="32">
        <v>0</v>
      </c>
      <c r="D28" s="54"/>
      <c r="E28" s="55"/>
      <c r="F28" s="55"/>
      <c r="G28" s="55"/>
      <c r="H28" s="55"/>
      <c r="I28" s="55"/>
      <c r="J28" s="55"/>
      <c r="K28" s="55"/>
      <c r="L28" s="56"/>
    </row>
    <row r="29" spans="1:48" x14ac:dyDescent="0.25">
      <c r="B29" s="33" t="s">
        <v>72</v>
      </c>
      <c r="C29" s="32">
        <v>2</v>
      </c>
      <c r="D29" s="67" t="s">
        <v>78</v>
      </c>
      <c r="E29" s="68"/>
      <c r="F29" s="68"/>
      <c r="G29" s="68"/>
      <c r="H29" s="68"/>
      <c r="I29" s="68"/>
      <c r="J29" s="68"/>
      <c r="K29" s="68"/>
      <c r="L29" s="69"/>
    </row>
    <row r="30" spans="1:48" x14ac:dyDescent="0.25">
      <c r="B30" s="33" t="s">
        <v>73</v>
      </c>
      <c r="C30" s="32">
        <v>2</v>
      </c>
      <c r="D30" s="70" t="s">
        <v>75</v>
      </c>
      <c r="E30" s="71"/>
      <c r="F30" s="71"/>
      <c r="G30" s="71"/>
      <c r="H30" s="71"/>
      <c r="I30" s="71"/>
      <c r="J30" s="71"/>
      <c r="K30" s="71"/>
      <c r="L30" s="72"/>
    </row>
    <row r="31" spans="1:48" x14ac:dyDescent="0.25">
      <c r="B31" s="33" t="s">
        <v>79</v>
      </c>
      <c r="C31" s="32">
        <v>2</v>
      </c>
      <c r="D31" s="54" t="s">
        <v>74</v>
      </c>
      <c r="E31" s="55"/>
      <c r="F31" s="55"/>
      <c r="G31" s="55"/>
      <c r="H31" s="55"/>
      <c r="I31" s="55"/>
      <c r="J31" s="55"/>
      <c r="K31" s="55"/>
      <c r="L31" s="56"/>
    </row>
  </sheetData>
  <mergeCells count="14">
    <mergeCell ref="D31:L31"/>
    <mergeCell ref="D28:L28"/>
    <mergeCell ref="A1:W1"/>
    <mergeCell ref="X1:AV1"/>
    <mergeCell ref="D21:L21"/>
    <mergeCell ref="D20:L20"/>
    <mergeCell ref="D26:L26"/>
    <mergeCell ref="D27:L27"/>
    <mergeCell ref="D29:L29"/>
    <mergeCell ref="D30:L30"/>
    <mergeCell ref="D22:L22"/>
    <mergeCell ref="D23:L23"/>
    <mergeCell ref="D24:L24"/>
    <mergeCell ref="D25:L25"/>
  </mergeCells>
  <pageMargins left="0.11811023622047245" right="0.31496062992125984" top="0.15748031496062992" bottom="0.15748031496062992" header="0.31496062992125984" footer="0.31496062992125984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2025</vt:lpstr>
      <vt:lpstr>2026</vt:lpstr>
      <vt:lpstr>FINAL SHEET </vt:lpstr>
      <vt:lpstr>'FINAL SHEET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exim_mgr</dc:creator>
  <cp:lastModifiedBy>RAKESH GOR</cp:lastModifiedBy>
  <cp:lastPrinted>2026-07-20T06:47:55Z</cp:lastPrinted>
  <dcterms:created xsi:type="dcterms:W3CDTF">2015-06-05T18:17:20Z</dcterms:created>
  <dcterms:modified xsi:type="dcterms:W3CDTF">2026-07-22T05:51:20Z</dcterms:modified>
</cp:coreProperties>
</file>